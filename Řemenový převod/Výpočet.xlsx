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/>
  <mc:AlternateContent xmlns:mc="http://schemas.openxmlformats.org/markup-compatibility/2006">
    <mc:Choice Requires="x15">
      <x15ac:absPath xmlns:x15ac="http://schemas.microsoft.com/office/spreadsheetml/2010/11/ac" url="https://spscaslav-my.sharepoint.com/personal/s21suk_student_sps-caslav_cz/Documents/Druhý projekt SPS - řemenový převod/"/>
    </mc:Choice>
  </mc:AlternateContent>
  <xr:revisionPtr revIDLastSave="242" documentId="11_8870D2C9E377EE1EDE2FDD51DA3E55ECACB8D0E5" xr6:coauthVersionLast="47" xr6:coauthVersionMax="47" xr10:uidLastSave="{B5E2BC3C-4340-49BE-9517-4996FD9896B2}"/>
  <workbookProtection lockStructure="1"/>
  <bookViews>
    <workbookView xWindow="-120" yWindow="-120" windowWidth="29040" windowHeight="15840" xr2:uid="{00000000-000D-0000-FFFF-FFFF00000000}"/>
  </bookViews>
  <sheets>
    <sheet name="Řemen" sheetId="1" r:id="rId1"/>
    <sheet name="Řemenic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  <c r="C32" i="1"/>
  <c r="C35" i="1"/>
  <c r="C42" i="1" s="1"/>
  <c r="C44" i="1" s="1"/>
  <c r="C3" i="2" s="1"/>
  <c r="C17" i="1"/>
  <c r="C22" i="2"/>
  <c r="C31" i="2" s="1"/>
  <c r="C30" i="2" s="1"/>
  <c r="C19" i="2"/>
  <c r="C17" i="2" s="1"/>
  <c r="C14" i="2" s="1"/>
  <c r="C13" i="2" s="1"/>
  <c r="C18" i="2"/>
  <c r="C9" i="2"/>
  <c r="C8" i="2"/>
  <c r="C36" i="1"/>
  <c r="C25" i="1"/>
  <c r="C28" i="1" s="1"/>
  <c r="C26" i="2" l="1"/>
  <c r="C39" i="2"/>
  <c r="D42" i="2" l="1"/>
  <c r="C42" i="2" s="1"/>
  <c r="D43" i="2"/>
  <c r="C4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Roman Suk</author>
  </authors>
  <commentList>
    <comment ref="B14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38"/>
          </rPr>
          <t>Roman Suk:</t>
        </r>
        <r>
          <rPr>
            <sz val="9"/>
            <color indexed="81"/>
            <rFont val="Tahoma"/>
            <family val="2"/>
            <charset val="238"/>
          </rPr>
          <t xml:space="preserve">
Tento průměr platí jak na hnanou, tak hnací hřídel.
Tímto výpočtem jedna z hřídelí bude předimenzována.
</t>
        </r>
      </text>
    </comment>
  </commentList>
</comments>
</file>

<file path=xl/sharedStrings.xml><?xml version="1.0" encoding="utf-8"?>
<sst xmlns="http://schemas.openxmlformats.org/spreadsheetml/2006/main" count="138" uniqueCount="124">
  <si>
    <t>Zadání</t>
  </si>
  <si>
    <t>Značky (jednotky)</t>
  </si>
  <si>
    <t>Hodnota</t>
  </si>
  <si>
    <t>Legenda</t>
  </si>
  <si>
    <t>Příkon</t>
  </si>
  <si>
    <t>P (kW)</t>
  </si>
  <si>
    <t>Zadáno</t>
  </si>
  <si>
    <t>Počet směn</t>
  </si>
  <si>
    <r>
      <t>t</t>
    </r>
    <r>
      <rPr>
        <vertAlign val="subscript"/>
        <sz val="11"/>
        <color theme="1"/>
        <rFont val="Calibri"/>
        <family val="2"/>
        <charset val="238"/>
        <scheme val="minor"/>
      </rPr>
      <t>d</t>
    </r>
    <r>
      <rPr>
        <sz val="11"/>
        <color theme="1"/>
        <rFont val="Calibri"/>
        <family val="2"/>
        <scheme val="minor"/>
      </rPr>
      <t xml:space="preserve"> (h)</t>
    </r>
  </si>
  <si>
    <t>Strojnické tabulky</t>
  </si>
  <si>
    <t>Předběžná vzdálenost os</t>
  </si>
  <si>
    <r>
      <t>a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scheme val="minor"/>
      </rPr>
      <t xml:space="preserve"> (mm)</t>
    </r>
  </si>
  <si>
    <t>Výpočet</t>
  </si>
  <si>
    <t>Otáčky motoru</t>
  </si>
  <si>
    <r>
      <t>n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scheme val="minor"/>
      </rPr>
      <t xml:space="preserve"> (ot*s-1)</t>
    </r>
  </si>
  <si>
    <t>Otáčky hnané řemenice</t>
  </si>
  <si>
    <r>
      <t>n</t>
    </r>
    <r>
      <rPr>
        <vertAlign val="subscript"/>
        <sz val="11"/>
        <color theme="1"/>
        <rFont val="Calibri"/>
        <family val="2"/>
        <charset val="238"/>
        <scheme val="minor"/>
      </rPr>
      <t>2</t>
    </r>
    <r>
      <rPr>
        <sz val="11"/>
        <color theme="1"/>
        <rFont val="Calibri"/>
        <family val="2"/>
        <scheme val="minor"/>
      </rPr>
      <t xml:space="preserve"> (ot*s-1)</t>
    </r>
  </si>
  <si>
    <t>Součinitel smyku</t>
  </si>
  <si>
    <t>φ</t>
  </si>
  <si>
    <t>1. Jmenovitého výkonu</t>
  </si>
  <si>
    <t>Jmenovitý výkon</t>
  </si>
  <si>
    <r>
      <t>P</t>
    </r>
    <r>
      <rPr>
        <vertAlign val="subscript"/>
        <sz val="11"/>
        <color theme="1"/>
        <rFont val="Calibri"/>
        <family val="2"/>
        <charset val="238"/>
        <scheme val="minor"/>
      </rPr>
      <t>j</t>
    </r>
    <r>
      <rPr>
        <sz val="11"/>
        <color theme="1"/>
        <rFont val="Calibri"/>
        <family val="2"/>
        <scheme val="minor"/>
      </rPr>
      <t xml:space="preserve"> (kW)</t>
    </r>
  </si>
  <si>
    <t xml:space="preserve">Součinitel dynamičnosti zatížení </t>
  </si>
  <si>
    <r>
      <t>C</t>
    </r>
    <r>
      <rPr>
        <vertAlign val="subscript"/>
        <sz val="11"/>
        <color theme="1"/>
        <rFont val="Calibri"/>
        <family val="2"/>
        <charset val="238"/>
        <scheme val="minor"/>
      </rPr>
      <t>p</t>
    </r>
  </si>
  <si>
    <t>2. Volba typu řemene</t>
  </si>
  <si>
    <t>Zvolený typ řemene</t>
  </si>
  <si>
    <t>A</t>
  </si>
  <si>
    <t>3. Volba průměru řemenice</t>
  </si>
  <si>
    <t>Průměr velké řemenice</t>
  </si>
  <si>
    <r>
      <t>D</t>
    </r>
    <r>
      <rPr>
        <vertAlign val="subscript"/>
        <sz val="11"/>
        <color theme="1"/>
        <rFont val="Calibri"/>
        <family val="2"/>
        <charset val="238"/>
        <scheme val="minor"/>
      </rPr>
      <t>p</t>
    </r>
    <r>
      <rPr>
        <sz val="11"/>
        <color theme="1"/>
        <rFont val="Calibri"/>
        <family val="2"/>
        <scheme val="minor"/>
      </rPr>
      <t xml:space="preserve"> (mm)</t>
    </r>
  </si>
  <si>
    <t>Tabulkové rozměry</t>
  </si>
  <si>
    <t>Průměr malé řemenice</t>
  </si>
  <si>
    <r>
      <t>d</t>
    </r>
    <r>
      <rPr>
        <vertAlign val="subscript"/>
        <sz val="11"/>
        <color theme="1"/>
        <rFont val="Calibri"/>
        <family val="2"/>
        <charset val="238"/>
        <scheme val="minor"/>
      </rPr>
      <t>p</t>
    </r>
    <r>
      <rPr>
        <sz val="11"/>
        <color theme="1"/>
        <rFont val="Calibri"/>
        <family val="2"/>
        <scheme val="minor"/>
      </rPr>
      <t xml:space="preserve"> (mm)</t>
    </r>
  </si>
  <si>
    <t>Úhel sklonu</t>
  </si>
  <si>
    <t>(°)</t>
  </si>
  <si>
    <t>4. Úhel opásání</t>
  </si>
  <si>
    <t>Úhel opásání</t>
  </si>
  <si>
    <t>α (°)</t>
  </si>
  <si>
    <t>5. Výpočtová délka řemene</t>
  </si>
  <si>
    <t>Délka řemene</t>
  </si>
  <si>
    <r>
      <t>L</t>
    </r>
    <r>
      <rPr>
        <vertAlign val="subscript"/>
        <sz val="11"/>
        <color theme="1"/>
        <rFont val="Calibri"/>
        <family val="2"/>
        <charset val="238"/>
        <scheme val="minor"/>
      </rPr>
      <t>p</t>
    </r>
    <r>
      <rPr>
        <sz val="11"/>
        <color theme="1"/>
        <rFont val="Calibri"/>
        <family val="2"/>
        <scheme val="minor"/>
      </rPr>
      <t xml:space="preserve"> (mm)</t>
    </r>
  </si>
  <si>
    <t>Tabulková délka řemene</t>
  </si>
  <si>
    <t>6. Konečná vzdálenost os</t>
  </si>
  <si>
    <t>Reálná vzdálenost os</t>
  </si>
  <si>
    <t>a (mm)</t>
  </si>
  <si>
    <t xml:space="preserve">7. Výkon přenášený jedním řemenem </t>
  </si>
  <si>
    <t>Výkon přenášený jedním řemenem</t>
  </si>
  <si>
    <r>
      <t>P</t>
    </r>
    <r>
      <rPr>
        <vertAlign val="subscript"/>
        <sz val="11"/>
        <color theme="1"/>
        <rFont val="Calibri"/>
        <family val="2"/>
        <charset val="238"/>
        <scheme val="minor"/>
      </rPr>
      <t>p</t>
    </r>
    <r>
      <rPr>
        <sz val="11"/>
        <color theme="1"/>
        <rFont val="Calibri"/>
        <family val="2"/>
        <scheme val="minor"/>
      </rPr>
      <t xml:space="preserve"> (kW)</t>
    </r>
  </si>
  <si>
    <t>Převodový poměr</t>
  </si>
  <si>
    <t>i</t>
  </si>
  <si>
    <r>
      <t>P</t>
    </r>
    <r>
      <rPr>
        <vertAlign val="subscript"/>
        <sz val="11"/>
        <color theme="1"/>
        <rFont val="Calibri"/>
        <family val="2"/>
        <charset val="238"/>
        <scheme val="minor"/>
      </rPr>
      <t>j</t>
    </r>
    <r>
      <rPr>
        <sz val="11"/>
        <color theme="1"/>
        <rFont val="Calibri"/>
        <family val="2"/>
        <scheme val="minor"/>
      </rPr>
      <t xml:space="preserve"> jedním řemenem</t>
    </r>
  </si>
  <si>
    <r>
      <t>P</t>
    </r>
    <r>
      <rPr>
        <vertAlign val="subscript"/>
        <sz val="11"/>
        <color theme="1"/>
        <rFont val="Calibri"/>
        <family val="2"/>
        <charset val="238"/>
        <scheme val="minor"/>
      </rPr>
      <t>0</t>
    </r>
    <r>
      <rPr>
        <sz val="11"/>
        <color theme="1"/>
        <rFont val="Calibri"/>
        <family val="2"/>
        <scheme val="minor"/>
      </rPr>
      <t xml:space="preserve"> (kW)</t>
    </r>
  </si>
  <si>
    <t>Součinitel úhlu opásání</t>
  </si>
  <si>
    <r>
      <t>C</t>
    </r>
    <r>
      <rPr>
        <vertAlign val="subscript"/>
        <sz val="11"/>
        <color theme="1"/>
        <rFont val="Calibri"/>
        <family val="2"/>
        <charset val="238"/>
        <scheme val="minor"/>
      </rPr>
      <t>α</t>
    </r>
  </si>
  <si>
    <t>Součinitel délky řemene</t>
  </si>
  <si>
    <r>
      <t>C</t>
    </r>
    <r>
      <rPr>
        <vertAlign val="subscript"/>
        <sz val="11"/>
        <color theme="1"/>
        <rFont val="Calibri"/>
        <family val="2"/>
        <charset val="238"/>
        <scheme val="minor"/>
      </rPr>
      <t>l</t>
    </r>
  </si>
  <si>
    <t>8. Počet řemenů</t>
  </si>
  <si>
    <t>Počet řemenů</t>
  </si>
  <si>
    <t>K</t>
  </si>
  <si>
    <t>Počet řemenů výpočtově</t>
  </si>
  <si>
    <r>
      <t>C</t>
    </r>
    <r>
      <rPr>
        <vertAlign val="subscript"/>
        <sz val="11"/>
        <color theme="1"/>
        <rFont val="Calibri"/>
        <family val="2"/>
        <charset val="238"/>
        <scheme val="minor"/>
      </rPr>
      <t>k</t>
    </r>
  </si>
  <si>
    <t>Zvolený počet řemenů</t>
  </si>
  <si>
    <t>1. Šířka řemenice</t>
  </si>
  <si>
    <t>Šířka řemenice</t>
  </si>
  <si>
    <t>M (mm)</t>
  </si>
  <si>
    <t>Rozměr</t>
  </si>
  <si>
    <t>e (mm)</t>
  </si>
  <si>
    <t>Určeno</t>
  </si>
  <si>
    <t>f (mm)</t>
  </si>
  <si>
    <t>2. Vnější průměr řemenice</t>
  </si>
  <si>
    <t>Vnější průměr malé řemenice</t>
  </si>
  <si>
    <r>
      <t>d</t>
    </r>
    <r>
      <rPr>
        <vertAlign val="subscript"/>
        <sz val="11"/>
        <color theme="1"/>
        <rFont val="Calibri"/>
        <family val="2"/>
        <charset val="238"/>
        <scheme val="minor"/>
      </rPr>
      <t>e</t>
    </r>
    <r>
      <rPr>
        <sz val="11"/>
        <color theme="1"/>
        <rFont val="Calibri"/>
        <family val="2"/>
        <scheme val="minor"/>
      </rPr>
      <t xml:space="preserve"> (mm)</t>
    </r>
  </si>
  <si>
    <t>Vnější průměr velké řemenice</t>
  </si>
  <si>
    <r>
      <t>D</t>
    </r>
    <r>
      <rPr>
        <vertAlign val="subscript"/>
        <sz val="11"/>
        <color theme="1"/>
        <rFont val="Calibri"/>
        <family val="2"/>
        <charset val="238"/>
        <scheme val="minor"/>
      </rPr>
      <t>e</t>
    </r>
    <r>
      <rPr>
        <sz val="11"/>
        <color theme="1"/>
        <rFont val="Calibri"/>
        <family val="2"/>
        <scheme val="minor"/>
      </rPr>
      <t xml:space="preserve"> (mm)</t>
    </r>
  </si>
  <si>
    <t>b (mm)</t>
  </si>
  <si>
    <t>3. Délka náboje řemenice</t>
  </si>
  <si>
    <t>Délka naboje řemenice</t>
  </si>
  <si>
    <t>l (mm)</t>
  </si>
  <si>
    <t>Průměr hřídele</t>
  </si>
  <si>
    <r>
      <t>d</t>
    </r>
    <r>
      <rPr>
        <vertAlign val="subscript"/>
        <sz val="11"/>
        <color theme="1"/>
        <rFont val="Calibri"/>
        <family val="2"/>
        <charset val="238"/>
        <scheme val="minor"/>
      </rPr>
      <t>H</t>
    </r>
    <r>
      <rPr>
        <sz val="11"/>
        <color theme="1"/>
        <rFont val="Calibri"/>
        <family val="2"/>
        <scheme val="minor"/>
      </rPr>
      <t xml:space="preserve"> (mm)</t>
    </r>
  </si>
  <si>
    <t>Reálný průměr hřídele</t>
  </si>
  <si>
    <r>
      <t>d</t>
    </r>
    <r>
      <rPr>
        <vertAlign val="subscript"/>
        <sz val="11"/>
        <color theme="1"/>
        <rFont val="Calibri"/>
        <family val="2"/>
        <charset val="238"/>
        <scheme val="minor"/>
      </rPr>
      <t>r</t>
    </r>
    <r>
      <rPr>
        <sz val="11"/>
        <color theme="1"/>
        <rFont val="Calibri"/>
        <family val="2"/>
        <scheme val="minor"/>
      </rPr>
      <t xml:space="preserve"> (mm)</t>
    </r>
  </si>
  <si>
    <t xml:space="preserve">Maximální krut </t>
  </si>
  <si>
    <r>
      <t>τ</t>
    </r>
    <r>
      <rPr>
        <vertAlign val="subscript"/>
        <sz val="11"/>
        <rFont val="Calibri"/>
        <family val="2"/>
        <charset val="238"/>
        <scheme val="minor"/>
      </rPr>
      <t>dk</t>
    </r>
    <r>
      <rPr>
        <sz val="11"/>
        <rFont val="Calibri"/>
        <family val="2"/>
        <charset val="238"/>
        <scheme val="minor"/>
      </rPr>
      <t xml:space="preserve"> (MPa)</t>
    </r>
  </si>
  <si>
    <t>Kroutící moment</t>
  </si>
  <si>
    <r>
      <t>M</t>
    </r>
    <r>
      <rPr>
        <vertAlign val="subscript"/>
        <sz val="11"/>
        <color theme="1"/>
        <rFont val="Calibri"/>
        <family val="2"/>
        <charset val="238"/>
        <scheme val="minor"/>
      </rPr>
      <t>k</t>
    </r>
    <r>
      <rPr>
        <sz val="11"/>
        <color theme="1"/>
        <rFont val="Calibri"/>
        <family val="2"/>
        <scheme val="minor"/>
      </rPr>
      <t xml:space="preserve"> (Nm)</t>
    </r>
  </si>
  <si>
    <t>Vyšší otáčky</t>
  </si>
  <si>
    <r>
      <t>n</t>
    </r>
    <r>
      <rPr>
        <vertAlign val="subscript"/>
        <sz val="11"/>
        <color theme="1"/>
        <rFont val="Calibri"/>
        <family val="2"/>
        <charset val="238"/>
        <scheme val="minor"/>
      </rPr>
      <t>max</t>
    </r>
    <r>
      <rPr>
        <sz val="11"/>
        <color theme="1"/>
        <rFont val="Calibri"/>
        <family val="2"/>
        <scheme val="minor"/>
      </rPr>
      <t xml:space="preserve"> (ot*s</t>
    </r>
    <r>
      <rPr>
        <vertAlign val="superscript"/>
        <sz val="11"/>
        <color theme="1"/>
        <rFont val="Calibri"/>
        <family val="2"/>
        <charset val="238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</si>
  <si>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Nižší otáčky</t>
  </si>
  <si>
    <r>
      <t>n</t>
    </r>
    <r>
      <rPr>
        <vertAlign val="subscript"/>
        <sz val="11"/>
        <color theme="1"/>
        <rFont val="Calibri"/>
        <family val="2"/>
        <charset val="238"/>
        <scheme val="minor"/>
      </rPr>
      <t>min</t>
    </r>
    <r>
      <rPr>
        <sz val="11"/>
        <color theme="1"/>
        <rFont val="Calibri"/>
        <family val="2"/>
        <scheme val="minor"/>
      </rPr>
      <t xml:space="preserve"> (ot*s</t>
    </r>
    <r>
      <rPr>
        <vertAlign val="superscript"/>
        <sz val="11"/>
        <color theme="1"/>
        <rFont val="Calibri"/>
        <family val="2"/>
        <charset val="238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</si>
  <si>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4. Výška věnce</t>
  </si>
  <si>
    <t>Výška věnce</t>
  </si>
  <si>
    <t>s (mm)</t>
  </si>
  <si>
    <t xml:space="preserve">Rozměr h </t>
  </si>
  <si>
    <t>h (mm)</t>
  </si>
  <si>
    <t>5. Průměr náboje</t>
  </si>
  <si>
    <t>Průměr náboje</t>
  </si>
  <si>
    <r>
      <t>d</t>
    </r>
    <r>
      <rPr>
        <vertAlign val="subscript"/>
        <sz val="11"/>
        <color theme="1"/>
        <rFont val="Calibri"/>
        <family val="2"/>
        <charset val="238"/>
        <scheme val="minor"/>
      </rPr>
      <t>n</t>
    </r>
    <r>
      <rPr>
        <sz val="11"/>
        <color theme="1"/>
        <rFont val="Calibri"/>
        <family val="2"/>
        <scheme val="minor"/>
      </rPr>
      <t xml:space="preserve"> (mm)</t>
    </r>
  </si>
  <si>
    <t>Materiál</t>
  </si>
  <si>
    <t>6. Tloušťka řemene</t>
  </si>
  <si>
    <t>Šířka těla řemenice</t>
  </si>
  <si>
    <t>h1 (mm)</t>
  </si>
  <si>
    <t>Tloušťka řemene</t>
  </si>
  <si>
    <t>7. Výpočet pera</t>
  </si>
  <si>
    <t>Normovaná délka</t>
  </si>
  <si>
    <r>
      <t>l</t>
    </r>
    <r>
      <rPr>
        <vertAlign val="subscript"/>
        <sz val="11"/>
        <color theme="1"/>
        <rFont val="Calibri"/>
        <family val="2"/>
        <charset val="238"/>
        <scheme val="minor"/>
      </rPr>
      <t>p</t>
    </r>
    <r>
      <rPr>
        <sz val="11"/>
        <color theme="1"/>
        <rFont val="Calibri"/>
        <family val="2"/>
        <scheme val="minor"/>
      </rPr>
      <t xml:space="preserve"> (mm)</t>
    </r>
  </si>
  <si>
    <t>Hloubka drážky v hřídeli</t>
  </si>
  <si>
    <t>t (mm)</t>
  </si>
  <si>
    <t>Hloubka drážky v řemenici</t>
  </si>
  <si>
    <r>
      <t>t</t>
    </r>
    <r>
      <rPr>
        <vertAlign val="subscript"/>
        <sz val="11"/>
        <color theme="1"/>
        <rFont val="Calibri"/>
        <family val="2"/>
        <charset val="238"/>
        <scheme val="minor"/>
      </rPr>
      <t>1</t>
    </r>
    <r>
      <rPr>
        <sz val="11"/>
        <color theme="1"/>
        <rFont val="Calibri"/>
        <family val="2"/>
        <scheme val="minor"/>
      </rPr>
      <t xml:space="preserve"> (mm)</t>
    </r>
  </si>
  <si>
    <t>Šířka</t>
  </si>
  <si>
    <t>8. Kontrola výpočtu pera</t>
  </si>
  <si>
    <t>Síla</t>
  </si>
  <si>
    <t>F (N)</t>
  </si>
  <si>
    <t>Dovolené napětí pro střih pera</t>
  </si>
  <si>
    <r>
      <t>τ</t>
    </r>
    <r>
      <rPr>
        <vertAlign val="subscript"/>
        <sz val="11"/>
        <color theme="1"/>
        <rFont val="Calibri"/>
        <family val="2"/>
        <charset val="238"/>
        <scheme val="minor"/>
      </rPr>
      <t>pds</t>
    </r>
    <r>
      <rPr>
        <sz val="11"/>
        <color theme="1"/>
        <rFont val="Calibri"/>
        <family val="2"/>
        <scheme val="minor"/>
      </rPr>
      <t xml:space="preserve"> (MPa)</t>
    </r>
  </si>
  <si>
    <t>Dovolené napětí na otlačení pera</t>
  </si>
  <si>
    <r>
      <t>p</t>
    </r>
    <r>
      <rPr>
        <vertAlign val="subscript"/>
        <sz val="11"/>
        <color theme="1"/>
        <rFont val="Calibri"/>
        <family val="2"/>
        <charset val="238"/>
        <scheme val="minor"/>
      </rPr>
      <t xml:space="preserve">pmax </t>
    </r>
    <r>
      <rPr>
        <sz val="11"/>
        <color theme="1"/>
        <rFont val="Calibri"/>
        <family val="2"/>
        <charset val="238"/>
        <scheme val="minor"/>
      </rPr>
      <t>(MPa)</t>
    </r>
  </si>
  <si>
    <t>Zkouška na střih</t>
  </si>
  <si>
    <r>
      <t>τ</t>
    </r>
    <r>
      <rPr>
        <vertAlign val="subscript"/>
        <sz val="11"/>
        <color theme="1"/>
        <rFont val="Calibri"/>
        <family val="2"/>
        <charset val="238"/>
        <scheme val="minor"/>
      </rPr>
      <t>ps</t>
    </r>
    <r>
      <rPr>
        <sz val="11"/>
        <color theme="1"/>
        <rFont val="Calibri"/>
        <family val="2"/>
        <scheme val="minor"/>
      </rPr>
      <t xml:space="preserve"> (MPa)</t>
    </r>
  </si>
  <si>
    <t>Zkouška na otlačení</t>
  </si>
  <si>
    <r>
      <t>p</t>
    </r>
    <r>
      <rPr>
        <vertAlign val="subscript"/>
        <sz val="11"/>
        <color theme="1"/>
        <rFont val="Calibri"/>
        <family val="2"/>
        <charset val="238"/>
        <scheme val="minor"/>
      </rPr>
      <t>p</t>
    </r>
    <r>
      <rPr>
        <sz val="11"/>
        <color theme="1"/>
        <rFont val="Calibri"/>
        <family val="2"/>
        <scheme val="minor"/>
      </rPr>
      <t xml:space="preserve"> (MPa)</t>
    </r>
  </si>
  <si>
    <r>
      <t>L</t>
    </r>
    <r>
      <rPr>
        <vertAlign val="subscript"/>
        <sz val="11"/>
        <color theme="1"/>
        <rFont val="Calibri"/>
        <family val="2"/>
        <charset val="238"/>
        <scheme val="minor"/>
      </rPr>
      <t xml:space="preserve">t </t>
    </r>
    <r>
      <rPr>
        <sz val="11"/>
        <color theme="1"/>
        <rFont val="Calibri"/>
        <family val="2"/>
        <scheme val="minor"/>
      </rPr>
      <t>(mm)</t>
    </r>
  </si>
  <si>
    <t>Šedá litina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</si>
</sst>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0.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charset val="238"/>
      <scheme val="minor"/>
    </font>
    <font>
      <vertAlign val="subscript"/>
      <sz val="11"/>
      <color theme="1"/>
      <name val="Calibri"/>
      <family val="2"/>
      <charset val="238"/>
      <scheme val="minor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sz val="11"/>
      <name val="Calibri"/>
      <family val="2"/>
      <charset val="238"/>
      <scheme val="minor"/>
    </font>
    <font>
      <vertAlign val="subscript"/>
      <sz val="1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2" fillId="3" borderId="1" applyNumberFormat="0" applyFont="0" applyAlignment="0" applyProtection="0"/>
  </cellStyleXfs>
  <cellXfs count="16">
    <xf numFmtId="0" fontId="0" fillId="0" borderId="0" xfId="0"/>
    <xf numFmtId="0" fontId="3" fillId="2" borderId="0" xfId="1"/>
    <xf numFmtId="0" fontId="0" fillId="3" borderId="1" xfId="2" applyFont="1"/>
    <xf numFmtId="0" fontId="0" fillId="4" borderId="0" xfId="0" applyFill="1"/>
    <xf numFmtId="0" fontId="0" fillId="5" borderId="0" xfId="0" applyFill="1"/>
    <xf numFmtId="0" fontId="7" fillId="0" borderId="0" xfId="0" applyFont="1"/>
    <xf numFmtId="164" fontId="0" fillId="0" borderId="0" xfId="0" applyNumberFormat="1"/>
    <xf numFmtId="0" fontId="3" fillId="2" borderId="0" xfId="1" applyProtection="1">
      <protection locked="0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3" fillId="2" borderId="1" xfId="1" applyBorder="1" applyProtection="1">
      <protection locked="0"/>
    </xf>
    <xf numFmtId="165" fontId="0" fillId="0" borderId="0" xfId="0" applyNumberFormat="1"/>
    <xf numFmtId="0" fontId="0" fillId="6" borderId="0" xfId="0" applyFill="1"/>
    <xf numFmtId="0" fontId="0" fillId="5" borderId="1" xfId="2" applyFont="1" applyFill="1"/>
    <xf numFmtId="0" fontId="10" fillId="4" borderId="0" xfId="0" applyFont="1" applyFill="1" applyProtection="1">
      <protection locked="0"/>
    </xf>
    <xf numFmtId="0" fontId="0" fillId="6" borderId="0" xfId="0" applyFill="1" applyProtection="1">
      <protection locked="0"/>
    </xf>
  </cellXfs>
  <cellStyles count="3">
    <cellStyle name="Neutrální" xfId="1" builtinId="28"/>
    <cellStyle name="Normální" xfId="0" builtinId="0"/>
    <cellStyle name="Poznámka" xfId="2" builtinId="10"/>
  </cellStyles>
  <dxfs count="5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85296"/>
      </a:hlink>
      <a:folHlink>
        <a:srgbClr val="99336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zoomScaleNormal="100" workbookViewId="0">
      <selection activeCell="C14" sqref="C14"/>
    </sheetView>
  </sheetViews>
  <sheetFormatPr defaultRowHeight="15" x14ac:dyDescent="0.25"/>
  <cols>
    <col min="1" max="1" width="35.28515625" bestFit="1" customWidth="1"/>
    <col min="2" max="2" width="16.85546875" bestFit="1" customWidth="1"/>
    <col min="3" max="3" width="16.28515625" bestFit="1" customWidth="1"/>
    <col min="5" max="5" width="17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E1" s="2" t="s">
        <v>3</v>
      </c>
    </row>
    <row r="2" spans="1:5" x14ac:dyDescent="0.25">
      <c r="A2" t="s">
        <v>4</v>
      </c>
      <c r="B2" t="s">
        <v>5</v>
      </c>
      <c r="C2" s="7">
        <v>7.5</v>
      </c>
      <c r="E2" s="1" t="s">
        <v>6</v>
      </c>
    </row>
    <row r="3" spans="1:5" ht="18" x14ac:dyDescent="0.35">
      <c r="A3" t="s">
        <v>7</v>
      </c>
      <c r="B3" t="s">
        <v>8</v>
      </c>
      <c r="C3" s="7">
        <v>16</v>
      </c>
      <c r="E3" s="3" t="s">
        <v>9</v>
      </c>
    </row>
    <row r="4" spans="1:5" ht="18" x14ac:dyDescent="0.35">
      <c r="A4" t="s">
        <v>10</v>
      </c>
      <c r="B4" t="s">
        <v>11</v>
      </c>
      <c r="C4" s="7">
        <v>700</v>
      </c>
      <c r="E4" s="4" t="s">
        <v>12</v>
      </c>
    </row>
    <row r="5" spans="1:5" ht="18" x14ac:dyDescent="0.35">
      <c r="A5" t="s">
        <v>13</v>
      </c>
      <c r="B5" t="s">
        <v>14</v>
      </c>
      <c r="C5" s="7">
        <v>48.67</v>
      </c>
    </row>
    <row r="6" spans="1:5" ht="18" x14ac:dyDescent="0.35">
      <c r="A6" t="s">
        <v>15</v>
      </c>
      <c r="B6" t="s">
        <v>16</v>
      </c>
      <c r="C6" s="7">
        <v>12.5</v>
      </c>
    </row>
    <row r="7" spans="1:5" x14ac:dyDescent="0.25">
      <c r="A7" t="s">
        <v>17</v>
      </c>
      <c r="B7" t="s">
        <v>18</v>
      </c>
      <c r="C7" s="7">
        <v>0.98</v>
      </c>
    </row>
    <row r="8" spans="1:5" ht="3" customHeight="1" x14ac:dyDescent="0.25"/>
    <row r="9" spans="1:5" x14ac:dyDescent="0.25">
      <c r="A9" s="2" t="s">
        <v>19</v>
      </c>
    </row>
    <row r="10" spans="1:5" ht="18" x14ac:dyDescent="0.35">
      <c r="A10" t="s">
        <v>20</v>
      </c>
      <c r="B10" t="s">
        <v>21</v>
      </c>
      <c r="C10">
        <f>C2*C11</f>
        <v>9</v>
      </c>
    </row>
    <row r="11" spans="1:5" ht="18" x14ac:dyDescent="0.35">
      <c r="A11" t="s">
        <v>22</v>
      </c>
      <c r="B11" t="s">
        <v>23</v>
      </c>
      <c r="C11" s="8">
        <v>1.2</v>
      </c>
    </row>
    <row r="12" spans="1:5" ht="3" customHeight="1" x14ac:dyDescent="0.25"/>
    <row r="13" spans="1:5" x14ac:dyDescent="0.25">
      <c r="A13" s="2" t="s">
        <v>24</v>
      </c>
    </row>
    <row r="14" spans="1:5" x14ac:dyDescent="0.25">
      <c r="A14" t="s">
        <v>25</v>
      </c>
      <c r="C14" s="9" t="s">
        <v>26</v>
      </c>
    </row>
    <row r="15" spans="1:5" ht="3" customHeight="1" x14ac:dyDescent="0.25"/>
    <row r="16" spans="1:5" x14ac:dyDescent="0.25">
      <c r="A16" s="2" t="s">
        <v>27</v>
      </c>
    </row>
    <row r="17" spans="1:3" ht="18" x14ac:dyDescent="0.35">
      <c r="A17" t="s">
        <v>28</v>
      </c>
      <c r="B17" t="s">
        <v>29</v>
      </c>
      <c r="C17">
        <f>(C19*C7*C5)/C6</f>
        <v>476.96600000000001</v>
      </c>
    </row>
    <row r="18" spans="1:3" x14ac:dyDescent="0.25">
      <c r="A18" s="2" t="s">
        <v>30</v>
      </c>
    </row>
    <row r="19" spans="1:3" ht="18" x14ac:dyDescent="0.35">
      <c r="A19" t="s">
        <v>31</v>
      </c>
      <c r="B19" t="s">
        <v>32</v>
      </c>
      <c r="C19" s="8">
        <v>125</v>
      </c>
    </row>
    <row r="20" spans="1:3" ht="18" x14ac:dyDescent="0.35">
      <c r="A20" t="s">
        <v>28</v>
      </c>
      <c r="B20" t="s">
        <v>29</v>
      </c>
      <c r="C20" s="8">
        <v>500</v>
      </c>
    </row>
    <row r="21" spans="1:3" ht="3" customHeight="1" x14ac:dyDescent="0.25"/>
    <row r="22" spans="1:3" x14ac:dyDescent="0.25">
      <c r="A22" t="s">
        <v>33</v>
      </c>
      <c r="B22" t="s">
        <v>34</v>
      </c>
      <c r="C22" s="8">
        <v>36</v>
      </c>
    </row>
    <row r="23" spans="1:3" ht="3" customHeight="1" x14ac:dyDescent="0.25"/>
    <row r="24" spans="1:3" x14ac:dyDescent="0.25">
      <c r="A24" s="2" t="s">
        <v>35</v>
      </c>
    </row>
    <row r="25" spans="1:3" x14ac:dyDescent="0.25">
      <c r="A25" t="s">
        <v>36</v>
      </c>
      <c r="B25" t="s">
        <v>37</v>
      </c>
      <c r="C25">
        <f>2*DEGREES(ACOS((C20-C19)/(2*C4)))</f>
        <v>148.92641186369772</v>
      </c>
    </row>
    <row r="26" spans="1:3" ht="3" customHeight="1" x14ac:dyDescent="0.25"/>
    <row r="27" spans="1:3" x14ac:dyDescent="0.25">
      <c r="A27" s="2" t="s">
        <v>38</v>
      </c>
    </row>
    <row r="28" spans="1:3" ht="18" x14ac:dyDescent="0.35">
      <c r="A28" t="s">
        <v>39</v>
      </c>
      <c r="B28" t="s">
        <v>40</v>
      </c>
      <c r="C28">
        <f>(C4*2*SIN(RADIANS(C25/2)))+((PI()/2)*(C20+C19))+((PI()*(180-C25))/180)*((C20-C19)/2)</f>
        <v>2432.2778796535172</v>
      </c>
    </row>
    <row r="29" spans="1:3" ht="18" x14ac:dyDescent="0.35">
      <c r="A29" t="s">
        <v>41</v>
      </c>
      <c r="B29" t="s">
        <v>122</v>
      </c>
      <c r="C29" s="8">
        <v>2500</v>
      </c>
    </row>
    <row r="30" spans="1:3" ht="3" customHeight="1" x14ac:dyDescent="0.25"/>
    <row r="31" spans="1:3" x14ac:dyDescent="0.25">
      <c r="A31" s="2" t="s">
        <v>42</v>
      </c>
    </row>
    <row r="32" spans="1:3" x14ac:dyDescent="0.25">
      <c r="A32" t="s">
        <v>43</v>
      </c>
      <c r="B32" t="s">
        <v>44</v>
      </c>
      <c r="C32">
        <f>0.25*((C29-((PI()*(C20+C19))/2)+SQRT(((C29-((PI()*(C20+C19))/2))*(C29-((PI()*(C20+C19))/2)))-8*((C20-C19)/2)*((C20-C19)/2))))</f>
        <v>735.21740344588181</v>
      </c>
    </row>
    <row r="33" spans="1:3" ht="3" customHeight="1" x14ac:dyDescent="0.25"/>
    <row r="34" spans="1:3" x14ac:dyDescent="0.25">
      <c r="A34" s="2" t="s">
        <v>45</v>
      </c>
    </row>
    <row r="35" spans="1:3" ht="18" x14ac:dyDescent="0.35">
      <c r="A35" t="s">
        <v>46</v>
      </c>
      <c r="B35" t="s">
        <v>47</v>
      </c>
      <c r="C35">
        <f>C37*((C38*C39)/C11)</f>
        <v>2.7475800000000006</v>
      </c>
    </row>
    <row r="36" spans="1:3" x14ac:dyDescent="0.25">
      <c r="A36" t="s">
        <v>48</v>
      </c>
      <c r="B36" t="s">
        <v>49</v>
      </c>
      <c r="C36">
        <f>C5/C6</f>
        <v>3.8936000000000002</v>
      </c>
    </row>
    <row r="37" spans="1:3" ht="18" x14ac:dyDescent="0.35">
      <c r="A37" t="s">
        <v>50</v>
      </c>
      <c r="B37" t="s">
        <v>51</v>
      </c>
      <c r="C37" s="8">
        <v>3.62</v>
      </c>
    </row>
    <row r="38" spans="1:3" ht="18" x14ac:dyDescent="0.35">
      <c r="A38" t="s">
        <v>52</v>
      </c>
      <c r="B38" t="s">
        <v>53</v>
      </c>
      <c r="C38" s="8">
        <v>0.92</v>
      </c>
    </row>
    <row r="39" spans="1:3" ht="18" x14ac:dyDescent="0.35">
      <c r="A39" t="s">
        <v>54</v>
      </c>
      <c r="B39" t="s">
        <v>55</v>
      </c>
      <c r="C39" s="8">
        <v>0.99</v>
      </c>
    </row>
    <row r="40" spans="1:3" ht="3" customHeight="1" x14ac:dyDescent="0.25"/>
    <row r="41" spans="1:3" x14ac:dyDescent="0.25">
      <c r="A41" s="2" t="s">
        <v>56</v>
      </c>
    </row>
    <row r="42" spans="1:3" x14ac:dyDescent="0.25">
      <c r="A42" t="s">
        <v>57</v>
      </c>
      <c r="B42" t="s">
        <v>58</v>
      </c>
      <c r="C42">
        <f>C2/(C35*C43)</f>
        <v>2.7296748411329235</v>
      </c>
    </row>
    <row r="43" spans="1:3" ht="18" x14ac:dyDescent="0.35">
      <c r="A43" t="s">
        <v>59</v>
      </c>
      <c r="B43" t="s">
        <v>60</v>
      </c>
      <c r="C43" s="10">
        <v>1</v>
      </c>
    </row>
    <row r="44" spans="1:3" x14ac:dyDescent="0.25">
      <c r="A44" t="s">
        <v>61</v>
      </c>
      <c r="B44" t="s">
        <v>58</v>
      </c>
      <c r="C44">
        <f>ROUNDUP(C42, 0)</f>
        <v>3</v>
      </c>
    </row>
  </sheetData>
  <sheetProtection sheet="1" objects="1" scenarios="1"/>
  <dataValidations count="1">
    <dataValidation type="list" allowBlank="1" showInputMessage="1" showErrorMessage="1" sqref="C14" xr:uid="{00000000-0002-0000-0000-000000000000}">
      <formula1>"A,B,C,D,E"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"/>
  <sheetViews>
    <sheetView workbookViewId="0">
      <selection activeCell="C9" sqref="C9"/>
    </sheetView>
  </sheetViews>
  <sheetFormatPr defaultRowHeight="15" x14ac:dyDescent="0.25"/>
  <cols>
    <col min="1" max="1" width="30.7109375" bestFit="1" customWidth="1"/>
    <col min="2" max="2" width="16.85546875" bestFit="1" customWidth="1"/>
    <col min="3" max="3" width="14.28515625" bestFit="1" customWidth="1"/>
    <col min="4" max="4" width="12" bestFit="1" customWidth="1"/>
    <col min="5" max="5" width="17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E1" s="2" t="s">
        <v>3</v>
      </c>
    </row>
    <row r="2" spans="1:5" x14ac:dyDescent="0.25">
      <c r="A2" s="2" t="s">
        <v>62</v>
      </c>
      <c r="E2" s="1" t="s">
        <v>6</v>
      </c>
    </row>
    <row r="3" spans="1:5" x14ac:dyDescent="0.25">
      <c r="A3" t="s">
        <v>63</v>
      </c>
      <c r="B3" t="s">
        <v>64</v>
      </c>
      <c r="C3">
        <f>((Řemen!C44-1)*C4)+(2*C5)</f>
        <v>50</v>
      </c>
      <c r="E3" s="3" t="s">
        <v>9</v>
      </c>
    </row>
    <row r="4" spans="1:5" x14ac:dyDescent="0.25">
      <c r="A4" t="s">
        <v>65</v>
      </c>
      <c r="B4" t="s">
        <v>66</v>
      </c>
      <c r="C4" s="8">
        <v>15</v>
      </c>
      <c r="E4" s="12" t="s">
        <v>67</v>
      </c>
    </row>
    <row r="5" spans="1:5" x14ac:dyDescent="0.25">
      <c r="A5" t="s">
        <v>65</v>
      </c>
      <c r="B5" t="s">
        <v>68</v>
      </c>
      <c r="C5" s="8">
        <v>10</v>
      </c>
      <c r="E5" t="s">
        <v>12</v>
      </c>
    </row>
    <row r="6" spans="1:5" ht="3" customHeight="1" x14ac:dyDescent="0.25"/>
    <row r="7" spans="1:5" ht="15" customHeight="1" x14ac:dyDescent="0.25">
      <c r="A7" s="2" t="s">
        <v>69</v>
      </c>
    </row>
    <row r="8" spans="1:5" ht="18" x14ac:dyDescent="0.35">
      <c r="A8" t="s">
        <v>70</v>
      </c>
      <c r="B8" t="s">
        <v>71</v>
      </c>
      <c r="C8">
        <f>Řemen!C19+(2*C10)</f>
        <v>131.6</v>
      </c>
    </row>
    <row r="9" spans="1:5" ht="18" x14ac:dyDescent="0.35">
      <c r="A9" t="s">
        <v>72</v>
      </c>
      <c r="B9" t="s">
        <v>73</v>
      </c>
      <c r="C9">
        <f>Řemen!C20+(2*C10)</f>
        <v>506.6</v>
      </c>
    </row>
    <row r="10" spans="1:5" x14ac:dyDescent="0.25">
      <c r="A10" t="s">
        <v>65</v>
      </c>
      <c r="B10" t="s">
        <v>74</v>
      </c>
      <c r="C10" s="8">
        <v>3.3</v>
      </c>
    </row>
    <row r="11" spans="1:5" ht="3" customHeight="1" x14ac:dyDescent="0.25"/>
    <row r="12" spans="1:5" x14ac:dyDescent="0.25">
      <c r="A12" s="2" t="s">
        <v>75</v>
      </c>
    </row>
    <row r="13" spans="1:5" x14ac:dyDescent="0.25">
      <c r="A13" t="s">
        <v>76</v>
      </c>
      <c r="B13" t="s">
        <v>77</v>
      </c>
      <c r="C13" s="6">
        <f>2*C14</f>
        <v>42.692719982115257</v>
      </c>
    </row>
    <row r="14" spans="1:5" ht="18" x14ac:dyDescent="0.35">
      <c r="A14" t="s">
        <v>78</v>
      </c>
      <c r="B14" t="s">
        <v>79</v>
      </c>
      <c r="C14">
        <f>POWER((16*C17*1000)/(PI()*C16),1/3)</f>
        <v>21.346359991057628</v>
      </c>
    </row>
    <row r="15" spans="1:5" ht="18" x14ac:dyDescent="0.35">
      <c r="A15" t="s">
        <v>80</v>
      </c>
      <c r="B15" t="s">
        <v>81</v>
      </c>
      <c r="C15" s="14">
        <v>22</v>
      </c>
    </row>
    <row r="16" spans="1:5" ht="18" x14ac:dyDescent="0.35">
      <c r="A16" t="s">
        <v>82</v>
      </c>
      <c r="B16" s="5" t="s">
        <v>83</v>
      </c>
      <c r="C16" s="8">
        <v>50</v>
      </c>
    </row>
    <row r="17" spans="1:3" ht="18" x14ac:dyDescent="0.35">
      <c r="A17" t="s">
        <v>84</v>
      </c>
      <c r="B17" t="s">
        <v>85</v>
      </c>
      <c r="C17">
        <f>(Řemen!C2*1000)/(2*PI()*C19)</f>
        <v>95.4929658551372</v>
      </c>
    </row>
    <row r="18" spans="1:3" ht="18.75" x14ac:dyDescent="0.35">
      <c r="A18" t="s">
        <v>86</v>
      </c>
      <c r="B18" t="s">
        <v>87</v>
      </c>
      <c r="C18">
        <f>IF(Řemen!C5&gt;Řemen!C6,Řemen!C5,Řemen!C6)</f>
        <v>48.67</v>
      </c>
    </row>
    <row r="19" spans="1:3" ht="18.75" x14ac:dyDescent="0.35">
      <c r="A19" t="s">
        <v>88</v>
      </c>
      <c r="B19" t="s">
        <v>89</v>
      </c>
      <c r="C19">
        <f>IF(Řemen!C5&lt;Řemen!C6,Řemen!C5,Řemen!C6)</f>
        <v>12.5</v>
      </c>
    </row>
    <row r="20" spans="1:3" ht="3" customHeight="1" x14ac:dyDescent="0.25"/>
    <row r="21" spans="1:3" x14ac:dyDescent="0.25">
      <c r="A21" s="2" t="s">
        <v>90</v>
      </c>
    </row>
    <row r="22" spans="1:3" x14ac:dyDescent="0.25">
      <c r="A22" t="s">
        <v>91</v>
      </c>
      <c r="B22" t="s">
        <v>92</v>
      </c>
      <c r="C22">
        <f>0.5*(C23+C10)</f>
        <v>6</v>
      </c>
    </row>
    <row r="23" spans="1:3" x14ac:dyDescent="0.25">
      <c r="A23" t="s">
        <v>93</v>
      </c>
      <c r="B23" t="s">
        <v>94</v>
      </c>
      <c r="C23" s="8">
        <v>8.6999999999999993</v>
      </c>
    </row>
    <row r="24" spans="1:3" ht="3" customHeight="1" x14ac:dyDescent="0.25"/>
    <row r="25" spans="1:3" x14ac:dyDescent="0.25">
      <c r="A25" s="2" t="s">
        <v>95</v>
      </c>
    </row>
    <row r="26" spans="1:3" ht="18" x14ac:dyDescent="0.35">
      <c r="A26" t="s">
        <v>96</v>
      </c>
      <c r="B26" t="s">
        <v>97</v>
      </c>
      <c r="C26">
        <f>(IF(C27="Šedá litina", 2, 1.6))*C14</f>
        <v>42.692719982115257</v>
      </c>
    </row>
    <row r="27" spans="1:3" x14ac:dyDescent="0.25">
      <c r="A27" t="s">
        <v>98</v>
      </c>
      <c r="C27" s="9" t="s">
        <v>123</v>
      </c>
    </row>
    <row r="28" spans="1:3" ht="3" customHeight="1" x14ac:dyDescent="0.25"/>
    <row r="29" spans="1:3" x14ac:dyDescent="0.25">
      <c r="A29" s="2" t="s">
        <v>99</v>
      </c>
    </row>
    <row r="30" spans="1:3" x14ac:dyDescent="0.25">
      <c r="A30" s="13" t="s">
        <v>100</v>
      </c>
      <c r="B30" t="s">
        <v>101</v>
      </c>
      <c r="C30">
        <f>C31</f>
        <v>6</v>
      </c>
    </row>
    <row r="31" spans="1:3" x14ac:dyDescent="0.25">
      <c r="A31" t="s">
        <v>102</v>
      </c>
      <c r="B31" t="s">
        <v>92</v>
      </c>
      <c r="C31">
        <f>C22</f>
        <v>6</v>
      </c>
    </row>
    <row r="32" spans="1:3" ht="3" customHeight="1" x14ac:dyDescent="0.25"/>
    <row r="33" spans="1:4" x14ac:dyDescent="0.25">
      <c r="A33" s="2" t="s">
        <v>103</v>
      </c>
    </row>
    <row r="34" spans="1:4" ht="18" x14ac:dyDescent="0.35">
      <c r="A34" t="s">
        <v>104</v>
      </c>
      <c r="B34" t="s">
        <v>105</v>
      </c>
      <c r="C34" s="8">
        <v>46</v>
      </c>
    </row>
    <row r="35" spans="1:4" x14ac:dyDescent="0.25">
      <c r="A35" t="s">
        <v>106</v>
      </c>
      <c r="B35" t="s">
        <v>107</v>
      </c>
      <c r="C35" s="8">
        <v>4.7</v>
      </c>
    </row>
    <row r="36" spans="1:4" ht="18" x14ac:dyDescent="0.35">
      <c r="A36" t="s">
        <v>108</v>
      </c>
      <c r="B36" t="s">
        <v>109</v>
      </c>
      <c r="C36" s="8">
        <v>3.3</v>
      </c>
    </row>
    <row r="37" spans="1:4" x14ac:dyDescent="0.25">
      <c r="A37" t="s">
        <v>110</v>
      </c>
      <c r="B37" t="s">
        <v>74</v>
      </c>
      <c r="C37" s="8">
        <v>10</v>
      </c>
    </row>
    <row r="38" spans="1:4" x14ac:dyDescent="0.25">
      <c r="A38" s="2" t="s">
        <v>111</v>
      </c>
    </row>
    <row r="39" spans="1:4" x14ac:dyDescent="0.25">
      <c r="A39" t="s">
        <v>112</v>
      </c>
      <c r="B39" t="s">
        <v>113</v>
      </c>
      <c r="C39">
        <f>(2*C17)/C15</f>
        <v>8.6811787141033818</v>
      </c>
      <c r="D39" s="11"/>
    </row>
    <row r="40" spans="1:4" ht="18" x14ac:dyDescent="0.35">
      <c r="A40" t="s">
        <v>114</v>
      </c>
      <c r="B40" t="s">
        <v>115</v>
      </c>
      <c r="C40" s="15">
        <v>50</v>
      </c>
      <c r="D40" s="11"/>
    </row>
    <row r="41" spans="1:4" ht="18" x14ac:dyDescent="0.35">
      <c r="A41" t="s">
        <v>116</v>
      </c>
      <c r="B41" t="s">
        <v>117</v>
      </c>
      <c r="C41" s="15">
        <v>90</v>
      </c>
      <c r="D41" s="11"/>
    </row>
    <row r="42" spans="1:4" ht="18" x14ac:dyDescent="0.35">
      <c r="A42" t="s">
        <v>118</v>
      </c>
      <c r="B42" t="s">
        <v>119</v>
      </c>
      <c r="C42" t="str">
        <f>IF(D42&lt;C40,"VYHOVUJE","NEVYHOVUJE")</f>
        <v>VYHOVUJE</v>
      </c>
      <c r="D42">
        <f>C39/(C37*C34)</f>
        <v>1.8872127639355179E-2</v>
      </c>
    </row>
    <row r="43" spans="1:4" ht="18" x14ac:dyDescent="0.35">
      <c r="A43" t="s">
        <v>120</v>
      </c>
      <c r="B43" t="s">
        <v>121</v>
      </c>
      <c r="C43" t="str">
        <f>IF(D43&lt;C41,"VYHOVUJE","NEVYHOVUJE")</f>
        <v>VYHOVUJE</v>
      </c>
      <c r="D43">
        <f>C39/(C36*C34)</f>
        <v>5.7188265573803576E-2</v>
      </c>
    </row>
  </sheetData>
  <sheetProtection sheet="1" objects="1" scenarios="1"/>
  <conditionalFormatting sqref="C42">
    <cfRule type="cellIs" dxfId="4" priority="7" operator="greaterThan">
      <formula>$C$42&lt;$C$40</formula>
    </cfRule>
    <cfRule type="cellIs" dxfId="3" priority="8" operator="lessThan">
      <formula>$C$40</formula>
    </cfRule>
  </conditionalFormatting>
  <conditionalFormatting sqref="C42:C43">
    <cfRule type="cellIs" dxfId="2" priority="1" operator="equal">
      <formula>"VYHOVUJE"</formula>
    </cfRule>
    <cfRule type="cellIs" dxfId="1" priority="3" operator="equal">
      <formula>"NEVYHOVUJE"</formula>
    </cfRule>
    <cfRule type="cellIs" dxfId="0" priority="5" operator="equal">
      <formula>"VYHOVUJE"</formula>
    </cfRule>
  </conditionalFormatting>
  <dataValidations count="1">
    <dataValidation type="list" allowBlank="1" showInputMessage="1" showErrorMessage="1" sqref="C27" xr:uid="{00000000-0002-0000-0100-000000000000}">
      <formula1>"Šedá litina,Ocel na odlitky"</formula1>
    </dataValidation>
  </dataValidations>
  <pageMargins left="0.7" right="0.7" top="0.78740157499999996" bottom="0.78740157499999996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Řemen</vt:lpstr>
      <vt:lpstr>Řemenice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Roman Suk</cp:lastModifiedBy>
  <cp:revision/>
  <dcterms:created xsi:type="dcterms:W3CDTF">2006-09-16T00:00:00Z</dcterms:created>
  <dcterms:modified xsi:type="dcterms:W3CDTF">2024-01-10T20:08:14Z</dcterms:modified>
  <cp:category/>
  <cp:contentStatus/>
</cp:coreProperties>
</file>