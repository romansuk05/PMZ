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scaslav-my.sharepoint.com/personal/s21suk_student_sps-caslav_cz/Documents/První projekt SPS - Spojka/"/>
    </mc:Choice>
  </mc:AlternateContent>
  <xr:revisionPtr revIDLastSave="166" documentId="11_20B81C477C45A78C056EC71724F99D4D009C6789" xr6:coauthVersionLast="47" xr6:coauthVersionMax="47" xr10:uidLastSave="{E581A093-650A-4957-A990-AEB19461F45F}"/>
  <bookViews>
    <workbookView xWindow="28680" yWindow="-120" windowWidth="29040" windowHeight="1584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D52" i="1"/>
  <c r="D53" i="1"/>
  <c r="C33" i="1"/>
  <c r="C20" i="1"/>
  <c r="C32" i="1"/>
  <c r="C45" i="1" s="1"/>
  <c r="C38" i="1"/>
  <c r="D38" i="1"/>
  <c r="C14" i="1"/>
  <c r="C15" i="1" s="1"/>
  <c r="C37" i="1"/>
  <c r="C56" i="1"/>
  <c r="C57" i="1" s="1"/>
  <c r="D45" i="1" l="1"/>
  <c r="C44" i="1"/>
  <c r="D44" i="1"/>
  <c r="C52" i="1" l="1"/>
  <c r="C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Roman</author>
  </authors>
  <commentList>
    <comment ref="C38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Roman:</t>
        </r>
        <r>
          <rPr>
            <sz val="9"/>
            <color indexed="81"/>
            <rFont val="Tahoma"/>
            <charset val="1"/>
          </rPr>
          <t xml:space="preserve">
Délka styku musí být větší jak tloušťka desky
</t>
        </r>
      </text>
    </comment>
    <comment ref="D38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Roman:</t>
        </r>
        <r>
          <rPr>
            <sz val="9"/>
            <color indexed="81"/>
            <rFont val="Tahoma"/>
            <charset val="1"/>
          </rPr>
          <t xml:space="preserve">
√(3)/3 = tg 30°
</t>
        </r>
      </text>
    </comment>
  </commentList>
</comments>
</file>

<file path=xl/sharedStrings.xml><?xml version="1.0" encoding="utf-8"?>
<sst xmlns="http://schemas.openxmlformats.org/spreadsheetml/2006/main" count="103" uniqueCount="92">
  <si>
    <t>Zadání</t>
  </si>
  <si>
    <t>Značky (Jednotky)</t>
  </si>
  <si>
    <t>Výsledek</t>
  </si>
  <si>
    <t>Legenda</t>
  </si>
  <si>
    <t>Příkon elektromotoru</t>
  </si>
  <si>
    <t>P (kW)</t>
  </si>
  <si>
    <t>Zadáno</t>
  </si>
  <si>
    <t>Otáčky hnacího motoru</t>
  </si>
  <si>
    <r>
      <t>n</t>
    </r>
    <r>
      <rPr>
        <vertAlign val="subscript"/>
        <sz val="11"/>
        <rFont val="Calibri"/>
        <family val="2"/>
        <charset val="238"/>
        <scheme val="minor"/>
      </rPr>
      <t>1</t>
    </r>
    <r>
      <rPr>
        <sz val="11"/>
        <rFont val="Calibri"/>
        <family val="2"/>
        <charset val="238"/>
        <scheme val="minor"/>
      </rPr>
      <t xml:space="preserve"> (ot/min)</t>
    </r>
  </si>
  <si>
    <t>Strojnické tabulky</t>
  </si>
  <si>
    <t>Dov. napětí v krutu (hřídel)</t>
  </si>
  <si>
    <r>
      <t>τ</t>
    </r>
    <r>
      <rPr>
        <vertAlign val="subscript"/>
        <sz val="11"/>
        <rFont val="Calibri"/>
        <family val="2"/>
        <charset val="238"/>
        <scheme val="minor"/>
      </rPr>
      <t>dk</t>
    </r>
    <r>
      <rPr>
        <sz val="11"/>
        <rFont val="Calibri"/>
        <family val="2"/>
        <charset val="238"/>
        <scheme val="minor"/>
      </rPr>
      <t xml:space="preserve"> (MPa)</t>
    </r>
  </si>
  <si>
    <t>Tabulky</t>
  </si>
  <si>
    <t>Napětí na mezi kluzu (šroub)</t>
  </si>
  <si>
    <r>
      <t>σ</t>
    </r>
    <r>
      <rPr>
        <vertAlign val="subscript"/>
        <sz val="11"/>
        <rFont val="Calibri"/>
        <family val="2"/>
        <charset val="238"/>
        <scheme val="minor"/>
      </rPr>
      <t>kt</t>
    </r>
    <r>
      <rPr>
        <sz val="11"/>
        <rFont val="Calibri"/>
        <family val="2"/>
        <charset val="238"/>
        <scheme val="minor"/>
      </rPr>
      <t xml:space="preserve"> (MPa)</t>
    </r>
  </si>
  <si>
    <t>Výpočet</t>
  </si>
  <si>
    <t>Dovolené napětí ve smyku (šroub)</t>
  </si>
  <si>
    <r>
      <rPr>
        <sz val="11"/>
        <color rgb="FF000000"/>
        <rFont val="Calibri"/>
        <scheme val="minor"/>
      </rPr>
      <t>τ</t>
    </r>
    <r>
      <rPr>
        <vertAlign val="subscript"/>
        <sz val="11"/>
        <color rgb="FF000000"/>
        <rFont val="Calibri"/>
        <scheme val="minor"/>
      </rPr>
      <t>ds</t>
    </r>
    <r>
      <rPr>
        <sz val="11"/>
        <color rgb="FF000000"/>
        <rFont val="Calibri"/>
        <scheme val="minor"/>
      </rPr>
      <t xml:space="preserve"> (MPa)</t>
    </r>
  </si>
  <si>
    <t>Dovolené napětí ve smyku (pero)</t>
  </si>
  <si>
    <r>
      <t>τ</t>
    </r>
    <r>
      <rPr>
        <vertAlign val="subscript"/>
        <sz val="11"/>
        <rFont val="Calibri"/>
        <family val="2"/>
        <charset val="238"/>
        <scheme val="minor"/>
      </rPr>
      <t>ds</t>
    </r>
    <r>
      <rPr>
        <sz val="11"/>
        <rFont val="Calibri"/>
        <family val="2"/>
        <charset val="238"/>
        <scheme val="minor"/>
      </rPr>
      <t xml:space="preserve"> (MPa)</t>
    </r>
  </si>
  <si>
    <t>Napětí na mezi pevnosti (kotouč)</t>
  </si>
  <si>
    <r>
      <rPr>
        <sz val="11"/>
        <color rgb="FF000000"/>
        <rFont val="Calibri"/>
        <scheme val="minor"/>
      </rPr>
      <t>σ</t>
    </r>
    <r>
      <rPr>
        <vertAlign val="subscript"/>
        <sz val="11"/>
        <color rgb="FF000000"/>
        <rFont val="Calibri"/>
        <scheme val="minor"/>
      </rPr>
      <t>pt</t>
    </r>
    <r>
      <rPr>
        <sz val="11"/>
        <color rgb="FF000000"/>
        <rFont val="Calibri"/>
        <scheme val="minor"/>
      </rPr>
      <t xml:space="preserve"> (MPa)</t>
    </r>
  </si>
  <si>
    <t>Dovolené otlačení (kotouč - šroub)</t>
  </si>
  <si>
    <r>
      <t>p</t>
    </r>
    <r>
      <rPr>
        <vertAlign val="subscript"/>
        <sz val="11"/>
        <rFont val="Calibri"/>
        <family val="2"/>
        <charset val="238"/>
        <scheme val="minor"/>
      </rPr>
      <t>d</t>
    </r>
    <r>
      <rPr>
        <sz val="11"/>
        <rFont val="Calibri"/>
        <family val="2"/>
        <charset val="238"/>
        <scheme val="minor"/>
      </rPr>
      <t xml:space="preserve"> (MPa)</t>
    </r>
  </si>
  <si>
    <t>Dovolené otlačení (náboj - pero)</t>
  </si>
  <si>
    <t>Momenty</t>
  </si>
  <si>
    <t>Zvolený součinitel (tabulka)</t>
  </si>
  <si>
    <t>k</t>
  </si>
  <si>
    <t>Kroutící moment</t>
  </si>
  <si>
    <r>
      <t>M</t>
    </r>
    <r>
      <rPr>
        <vertAlign val="subscript"/>
        <sz val="11"/>
        <rFont val="Calibri"/>
        <family val="2"/>
        <charset val="238"/>
        <scheme val="minor"/>
      </rPr>
      <t>k</t>
    </r>
    <r>
      <rPr>
        <sz val="11"/>
        <rFont val="Calibri"/>
        <family val="2"/>
        <charset val="238"/>
        <scheme val="minor"/>
      </rPr>
      <t xml:space="preserve"> (Nm)</t>
    </r>
  </si>
  <si>
    <t>Kroutící volitelný moment</t>
  </si>
  <si>
    <r>
      <t>M</t>
    </r>
    <r>
      <rPr>
        <vertAlign val="subscript"/>
        <sz val="11"/>
        <rFont val="Calibri"/>
        <family val="2"/>
        <charset val="238"/>
        <scheme val="minor"/>
      </rPr>
      <t>v</t>
    </r>
    <r>
      <rPr>
        <sz val="11"/>
        <rFont val="Calibri"/>
        <family val="2"/>
        <charset val="238"/>
        <scheme val="minor"/>
      </rPr>
      <t xml:space="preserve"> (Nm)</t>
    </r>
  </si>
  <si>
    <t>Zvolený Mv (tabulka)</t>
  </si>
  <si>
    <t>Rozměry spojky (tabulka)</t>
  </si>
  <si>
    <t>Průměr hřídele</t>
  </si>
  <si>
    <t>d (mm)</t>
  </si>
  <si>
    <t>58-70</t>
  </si>
  <si>
    <t>Vypočtený průměr hřídele</t>
  </si>
  <si>
    <t>Zvolený průměr hřídele (ČSN 42 5510) (ST)</t>
  </si>
  <si>
    <t>Průměr otvoru</t>
  </si>
  <si>
    <r>
      <t>d</t>
    </r>
    <r>
      <rPr>
        <vertAlign val="subscript"/>
        <sz val="11"/>
        <rFont val="Calibri"/>
        <family val="2"/>
        <charset val="238"/>
        <scheme val="minor"/>
      </rPr>
      <t>2</t>
    </r>
    <r>
      <rPr>
        <sz val="11"/>
        <rFont val="Calibri"/>
        <family val="2"/>
        <charset val="238"/>
        <scheme val="minor"/>
      </rPr>
      <t xml:space="preserve"> (mm)</t>
    </r>
  </si>
  <si>
    <t>Průměr náboje</t>
  </si>
  <si>
    <r>
      <t>d</t>
    </r>
    <r>
      <rPr>
        <vertAlign val="subscript"/>
        <sz val="11"/>
        <rFont val="Calibri"/>
        <family val="2"/>
        <charset val="238"/>
        <scheme val="minor"/>
      </rPr>
      <t>3</t>
    </r>
    <r>
      <rPr>
        <sz val="11"/>
        <rFont val="Calibri"/>
        <family val="2"/>
        <charset val="238"/>
        <scheme val="minor"/>
      </rPr>
      <t xml:space="preserve"> (mm)</t>
    </r>
  </si>
  <si>
    <t>Velký průměr spojky</t>
  </si>
  <si>
    <r>
      <t>D</t>
    </r>
    <r>
      <rPr>
        <vertAlign val="subscript"/>
        <sz val="11"/>
        <rFont val="Calibri"/>
        <family val="2"/>
        <charset val="238"/>
        <scheme val="minor"/>
      </rPr>
      <t>2</t>
    </r>
    <r>
      <rPr>
        <sz val="11"/>
        <rFont val="Calibri"/>
        <family val="2"/>
        <charset val="238"/>
        <scheme val="minor"/>
      </rPr>
      <t xml:space="preserve"> (mm)</t>
    </r>
  </si>
  <si>
    <t>Střední průměr spojky</t>
  </si>
  <si>
    <t>D (mm)</t>
  </si>
  <si>
    <t>Šířka náboje</t>
  </si>
  <si>
    <r>
      <t>I</t>
    </r>
    <r>
      <rPr>
        <vertAlign val="subscript"/>
        <sz val="11"/>
        <rFont val="Calibri"/>
        <family val="2"/>
        <charset val="238"/>
        <scheme val="minor"/>
      </rPr>
      <t>n</t>
    </r>
    <r>
      <rPr>
        <sz val="11"/>
        <rFont val="Calibri"/>
        <family val="2"/>
        <charset val="238"/>
        <scheme val="minor"/>
      </rPr>
      <t xml:space="preserve"> (mm)</t>
    </r>
  </si>
  <si>
    <t>Tloušťka desky</t>
  </si>
  <si>
    <r>
      <t>I</t>
    </r>
    <r>
      <rPr>
        <vertAlign val="subscript"/>
        <sz val="11"/>
        <rFont val="Calibri"/>
        <family val="2"/>
        <charset val="238"/>
        <scheme val="minor"/>
      </rPr>
      <t>k</t>
    </r>
    <r>
      <rPr>
        <sz val="11"/>
        <rFont val="Calibri"/>
        <family val="2"/>
        <charset val="238"/>
        <scheme val="minor"/>
      </rPr>
      <t xml:space="preserve"> (mm)</t>
    </r>
  </si>
  <si>
    <t>Počet šroubů</t>
  </si>
  <si>
    <t>i</t>
  </si>
  <si>
    <t>Síly</t>
  </si>
  <si>
    <t>Síla na průměr</t>
  </si>
  <si>
    <r>
      <t>F</t>
    </r>
    <r>
      <rPr>
        <vertAlign val="subscript"/>
        <sz val="11"/>
        <rFont val="Calibri"/>
        <family val="2"/>
        <charset val="238"/>
        <scheme val="minor"/>
      </rPr>
      <t>0</t>
    </r>
    <r>
      <rPr>
        <sz val="11"/>
        <rFont val="Calibri"/>
        <family val="2"/>
        <charset val="238"/>
        <scheme val="minor"/>
      </rPr>
      <t xml:space="preserve"> (kN)</t>
    </r>
  </si>
  <si>
    <t>Síla na šroub</t>
  </si>
  <si>
    <r>
      <t>F</t>
    </r>
    <r>
      <rPr>
        <vertAlign val="subscript"/>
        <sz val="11"/>
        <rFont val="Calibri"/>
        <family val="2"/>
        <charset val="238"/>
        <scheme val="minor"/>
      </rPr>
      <t>1</t>
    </r>
    <r>
      <rPr>
        <sz val="11"/>
        <rFont val="Calibri"/>
        <family val="2"/>
        <charset val="238"/>
        <scheme val="minor"/>
      </rPr>
      <t xml:space="preserve"> (kN)</t>
    </r>
  </si>
  <si>
    <t>Síla normálová</t>
  </si>
  <si>
    <r>
      <t>F</t>
    </r>
    <r>
      <rPr>
        <vertAlign val="subscript"/>
        <sz val="11"/>
        <rFont val="Calibri"/>
        <family val="2"/>
        <charset val="238"/>
        <scheme val="minor"/>
      </rPr>
      <t>n</t>
    </r>
    <r>
      <rPr>
        <sz val="11"/>
        <rFont val="Calibri"/>
        <family val="2"/>
        <charset val="238"/>
        <scheme val="minor"/>
      </rPr>
      <t xml:space="preserve"> (kN)</t>
    </r>
  </si>
  <si>
    <t>Šroub</t>
  </si>
  <si>
    <t>Hlava (ST)</t>
  </si>
  <si>
    <t>k (mm)</t>
  </si>
  <si>
    <t>Délka</t>
  </si>
  <si>
    <t>l (mm)</t>
  </si>
  <si>
    <t>Délka styku</t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</si>
  <si>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 (mm)</t>
    </r>
  </si>
  <si>
    <t>Délka závitu (ST)</t>
  </si>
  <si>
    <t>b (mm)</t>
  </si>
  <si>
    <t>Průměr závitu (ST)</t>
  </si>
  <si>
    <t>Rádius  (ST 168)</t>
  </si>
  <si>
    <t>r (mm)</t>
  </si>
  <si>
    <t>Výběh závitu (ST 406)</t>
  </si>
  <si>
    <t>x (mm)</t>
  </si>
  <si>
    <t>Zvolená délka (ST 427)</t>
  </si>
  <si>
    <t>Zkouška na otlačení</t>
  </si>
  <si>
    <t>p (MPa)</t>
  </si>
  <si>
    <t>Zkouška na střih šroubu</t>
  </si>
  <si>
    <t>t (MPa)</t>
  </si>
  <si>
    <t>Pero (20e7*12*56 ČSN 02 2562)</t>
  </si>
  <si>
    <t>Délka (ST)</t>
  </si>
  <si>
    <t>Šířka (ST)</t>
  </si>
  <si>
    <t>Výška (ST)</t>
  </si>
  <si>
    <t>h (mm)</t>
  </si>
  <si>
    <t>Menší část pera (ST)</t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</si>
  <si>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 xml:space="preserve"> (mm)</t>
    </r>
  </si>
  <si>
    <t>Zkouška na střih</t>
  </si>
  <si>
    <t>Určení materiálu</t>
  </si>
  <si>
    <t>Rychlost</t>
  </si>
  <si>
    <t>v (m/s)</t>
  </si>
  <si>
    <t>Materiál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</si>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</sst>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vertAlign val="subscript"/>
      <sz val="11"/>
      <name val="Calibri"/>
      <family val="2"/>
      <charset val="238"/>
      <scheme val="minor"/>
    </font>
    <font>
      <sz val="11"/>
      <color rgb="FF000000"/>
      <name val="Calibri"/>
      <scheme val="minor"/>
    </font>
    <font>
      <vertAlign val="subscript"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2" borderId="1" xfId="1" applyFont="1"/>
    <xf numFmtId="0" fontId="0" fillId="2" borderId="1" xfId="1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5" borderId="0" xfId="0" applyFont="1" applyFill="1" applyProtection="1">
      <protection locked="0"/>
    </xf>
    <xf numFmtId="0" fontId="0" fillId="6" borderId="0" xfId="0" applyFill="1" applyProtection="1">
      <protection locked="0"/>
    </xf>
    <xf numFmtId="0" fontId="0" fillId="6" borderId="0" xfId="0" applyFill="1" applyAlignment="1" applyProtection="1">
      <alignment horizontal="right"/>
      <protection locked="0"/>
    </xf>
    <xf numFmtId="0" fontId="1" fillId="4" borderId="0" xfId="2" applyFill="1" applyProtection="1">
      <protection locked="0"/>
    </xf>
    <xf numFmtId="0" fontId="1" fillId="6" borderId="0" xfId="2" applyFill="1" applyProtection="1">
      <protection locked="0"/>
    </xf>
    <xf numFmtId="0" fontId="0" fillId="4" borderId="0" xfId="0" applyFill="1" applyProtection="1">
      <protection locked="0"/>
    </xf>
    <xf numFmtId="0" fontId="5" fillId="6" borderId="0" xfId="2" applyFont="1" applyFill="1" applyProtection="1"/>
    <xf numFmtId="0" fontId="2" fillId="2" borderId="1" xfId="1" applyFont="1" applyProtection="1">
      <protection locked="0"/>
    </xf>
    <xf numFmtId="0" fontId="8" fillId="0" borderId="0" xfId="0" applyFont="1"/>
  </cellXfs>
  <cellStyles count="3">
    <cellStyle name="40 % – Zvýraznění 1" xfId="2" builtinId="31"/>
    <cellStyle name="Normální" xfId="0" builtinId="0"/>
    <cellStyle name="Poznámka" xfId="1" builtinId="1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8284</xdr:colOff>
      <xdr:row>17</xdr:row>
      <xdr:rowOff>9525</xdr:rowOff>
    </xdr:from>
    <xdr:to>
      <xdr:col>7</xdr:col>
      <xdr:colOff>559437</xdr:colOff>
      <xdr:row>31</xdr:row>
      <xdr:rowOff>217833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5EB9C133-0C0B-20E6-AB5E-12DEF9FE3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8009" y="3009900"/>
          <a:ext cx="2884778" cy="2932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" zoomScaleNormal="100" workbookViewId="0">
      <selection activeCell="C31" sqref="C31"/>
    </sheetView>
  </sheetViews>
  <sheetFormatPr defaultRowHeight="15" x14ac:dyDescent="0.25"/>
  <cols>
    <col min="1" max="1" width="38.85546875" bestFit="1" customWidth="1"/>
    <col min="2" max="2" width="17" bestFit="1" customWidth="1"/>
    <col min="3" max="3" width="16.28515625" bestFit="1" customWidth="1"/>
    <col min="4" max="4" width="9.140625" customWidth="1"/>
    <col min="5" max="5" width="16.7109375" bestFit="1" customWidth="1"/>
  </cols>
  <sheetData>
    <row r="1" spans="1:5" x14ac:dyDescent="0.25">
      <c r="A1" s="3" t="s">
        <v>0</v>
      </c>
      <c r="B1" s="4" t="s">
        <v>1</v>
      </c>
      <c r="C1" s="4" t="s">
        <v>2</v>
      </c>
      <c r="E1" s="3" t="s">
        <v>3</v>
      </c>
    </row>
    <row r="2" spans="1:5" x14ac:dyDescent="0.25">
      <c r="A2" s="1" t="s">
        <v>4</v>
      </c>
      <c r="B2" s="1" t="s">
        <v>5</v>
      </c>
      <c r="C2" s="8">
        <v>37</v>
      </c>
      <c r="E2" s="6" t="s">
        <v>6</v>
      </c>
    </row>
    <row r="3" spans="1:5" ht="18" x14ac:dyDescent="0.35">
      <c r="A3" s="1" t="s">
        <v>7</v>
      </c>
      <c r="B3" s="1" t="s">
        <v>8</v>
      </c>
      <c r="C3" s="8">
        <v>735</v>
      </c>
      <c r="E3" s="5" t="s">
        <v>9</v>
      </c>
    </row>
    <row r="4" spans="1:5" ht="18" x14ac:dyDescent="0.35">
      <c r="A4" s="1" t="s">
        <v>10</v>
      </c>
      <c r="B4" s="1" t="s">
        <v>11</v>
      </c>
      <c r="C4" s="8">
        <v>25</v>
      </c>
      <c r="E4" s="7" t="s">
        <v>12</v>
      </c>
    </row>
    <row r="5" spans="1:5" ht="15" customHeight="1" x14ac:dyDescent="0.35">
      <c r="A5" s="1" t="s">
        <v>13</v>
      </c>
      <c r="B5" s="1" t="s">
        <v>14</v>
      </c>
      <c r="C5" s="8">
        <v>345</v>
      </c>
      <c r="E5" t="s">
        <v>15</v>
      </c>
    </row>
    <row r="6" spans="1:5" ht="18" x14ac:dyDescent="0.35">
      <c r="A6" s="1" t="s">
        <v>16</v>
      </c>
      <c r="B6" s="16" t="s">
        <v>17</v>
      </c>
      <c r="C6" s="8">
        <v>30</v>
      </c>
    </row>
    <row r="7" spans="1:5" ht="18" x14ac:dyDescent="0.35">
      <c r="A7" s="1" t="s">
        <v>18</v>
      </c>
      <c r="B7" s="1" t="s">
        <v>19</v>
      </c>
      <c r="C7" s="8">
        <v>50</v>
      </c>
    </row>
    <row r="8" spans="1:5" ht="18" x14ac:dyDescent="0.35">
      <c r="A8" s="1" t="s">
        <v>20</v>
      </c>
      <c r="B8" s="16" t="s">
        <v>21</v>
      </c>
      <c r="C8" s="8">
        <v>200</v>
      </c>
    </row>
    <row r="9" spans="1:5" ht="18" x14ac:dyDescent="0.35">
      <c r="A9" s="1" t="s">
        <v>22</v>
      </c>
      <c r="B9" s="1" t="s">
        <v>23</v>
      </c>
      <c r="C9" s="8">
        <v>120</v>
      </c>
    </row>
    <row r="10" spans="1:5" ht="18" x14ac:dyDescent="0.35">
      <c r="A10" s="1" t="s">
        <v>24</v>
      </c>
      <c r="B10" s="1" t="s">
        <v>23</v>
      </c>
      <c r="C10" s="8">
        <v>100</v>
      </c>
    </row>
    <row r="11" spans="1:5" ht="3.75" customHeight="1" x14ac:dyDescent="0.25">
      <c r="A11" s="1"/>
      <c r="B11" s="1"/>
      <c r="C11" s="1"/>
    </row>
    <row r="12" spans="1:5" x14ac:dyDescent="0.25">
      <c r="A12" s="3" t="s">
        <v>25</v>
      </c>
      <c r="B12" s="1"/>
      <c r="C12" s="1"/>
    </row>
    <row r="13" spans="1:5" x14ac:dyDescent="0.25">
      <c r="A13" s="1" t="s">
        <v>26</v>
      </c>
      <c r="B13" s="1" t="s">
        <v>27</v>
      </c>
      <c r="C13" s="9">
        <v>3</v>
      </c>
    </row>
    <row r="14" spans="1:5" ht="18" x14ac:dyDescent="0.35">
      <c r="A14" s="1" t="s">
        <v>28</v>
      </c>
      <c r="B14" s="1" t="s">
        <v>29</v>
      </c>
      <c r="C14">
        <f>(C2*1000)/(2*PI()*(C3/60))</f>
        <v>480.71288933878594</v>
      </c>
    </row>
    <row r="15" spans="1:5" ht="18" x14ac:dyDescent="0.35">
      <c r="A15" s="1" t="s">
        <v>30</v>
      </c>
      <c r="B15" s="1" t="s">
        <v>31</v>
      </c>
      <c r="C15">
        <f>C14*C13</f>
        <v>1442.1386680163578</v>
      </c>
    </row>
    <row r="16" spans="1:5" ht="18" x14ac:dyDescent="0.35">
      <c r="A16" s="1" t="s">
        <v>32</v>
      </c>
      <c r="B16" s="1" t="s">
        <v>31</v>
      </c>
      <c r="C16" s="9">
        <v>1600</v>
      </c>
    </row>
    <row r="17" spans="1:3" ht="1.5" customHeight="1" x14ac:dyDescent="0.25">
      <c r="A17" s="1"/>
      <c r="B17" s="1"/>
      <c r="C17" s="1"/>
    </row>
    <row r="18" spans="1:3" x14ac:dyDescent="0.25">
      <c r="A18" s="3" t="s">
        <v>33</v>
      </c>
    </row>
    <row r="19" spans="1:3" x14ac:dyDescent="0.25">
      <c r="A19" s="1" t="s">
        <v>34</v>
      </c>
      <c r="B19" s="1" t="s">
        <v>35</v>
      </c>
      <c r="C19" s="10" t="s">
        <v>36</v>
      </c>
    </row>
    <row r="20" spans="1:3" x14ac:dyDescent="0.25">
      <c r="A20" s="1" t="s">
        <v>37</v>
      </c>
      <c r="B20" s="1" t="s">
        <v>35</v>
      </c>
      <c r="C20">
        <f>POWER((16*C16*1000)/(PI()*C4),1/3)</f>
        <v>68.820321106247945</v>
      </c>
    </row>
    <row r="21" spans="1:3" x14ac:dyDescent="0.25">
      <c r="A21" s="1" t="s">
        <v>38</v>
      </c>
      <c r="B21" s="1" t="s">
        <v>35</v>
      </c>
      <c r="C21" s="11">
        <v>70</v>
      </c>
    </row>
    <row r="22" spans="1:3" ht="18" x14ac:dyDescent="0.35">
      <c r="A22" s="1" t="s">
        <v>39</v>
      </c>
      <c r="B22" s="1" t="s">
        <v>40</v>
      </c>
      <c r="C22" s="12">
        <v>17</v>
      </c>
    </row>
    <row r="23" spans="1:3" ht="18" x14ac:dyDescent="0.35">
      <c r="A23" s="1" t="s">
        <v>41</v>
      </c>
      <c r="B23" s="1" t="s">
        <v>42</v>
      </c>
      <c r="C23" s="12">
        <v>130</v>
      </c>
    </row>
    <row r="24" spans="1:3" ht="18" x14ac:dyDescent="0.35">
      <c r="A24" s="1" t="s">
        <v>43</v>
      </c>
      <c r="B24" s="1" t="s">
        <v>44</v>
      </c>
      <c r="C24" s="12">
        <v>240</v>
      </c>
    </row>
    <row r="25" spans="1:3" x14ac:dyDescent="0.25">
      <c r="A25" s="1" t="s">
        <v>45</v>
      </c>
      <c r="B25" s="1" t="s">
        <v>46</v>
      </c>
      <c r="C25" s="12">
        <v>185</v>
      </c>
    </row>
    <row r="26" spans="1:3" ht="18" x14ac:dyDescent="0.35">
      <c r="A26" s="1" t="s">
        <v>47</v>
      </c>
      <c r="B26" s="1" t="s">
        <v>48</v>
      </c>
      <c r="C26" s="12">
        <v>95</v>
      </c>
    </row>
    <row r="27" spans="1:3" ht="18" x14ac:dyDescent="0.35">
      <c r="A27" s="1" t="s">
        <v>49</v>
      </c>
      <c r="B27" s="1" t="s">
        <v>50</v>
      </c>
      <c r="C27" s="12">
        <v>21</v>
      </c>
    </row>
    <row r="28" spans="1:3" x14ac:dyDescent="0.25">
      <c r="A28" s="1" t="s">
        <v>51</v>
      </c>
      <c r="B28" s="1" t="s">
        <v>52</v>
      </c>
      <c r="C28" s="12">
        <v>6</v>
      </c>
    </row>
    <row r="29" spans="1:3" ht="1.5" customHeight="1" x14ac:dyDescent="0.25"/>
    <row r="30" spans="1:3" x14ac:dyDescent="0.25">
      <c r="A30" s="3" t="s">
        <v>53</v>
      </c>
    </row>
    <row r="31" spans="1:3" ht="18" x14ac:dyDescent="0.35">
      <c r="A31" s="1" t="s">
        <v>54</v>
      </c>
      <c r="B31" s="1" t="s">
        <v>55</v>
      </c>
      <c r="C31">
        <f>(2*C16)/C25</f>
        <v>17.297297297297298</v>
      </c>
    </row>
    <row r="32" spans="1:3" ht="18" x14ac:dyDescent="0.35">
      <c r="A32" s="1" t="s">
        <v>56</v>
      </c>
      <c r="B32" s="1" t="s">
        <v>57</v>
      </c>
      <c r="C32">
        <f>C31/C28</f>
        <v>2.8828828828828832</v>
      </c>
    </row>
    <row r="33" spans="1:4" ht="18" x14ac:dyDescent="0.35">
      <c r="A33" s="1" t="s">
        <v>58</v>
      </c>
      <c r="B33" s="1" t="s">
        <v>59</v>
      </c>
      <c r="C33">
        <f>C32*(C25/C21)</f>
        <v>7.6190476190476195</v>
      </c>
    </row>
    <row r="34" spans="1:4" ht="3" customHeight="1" x14ac:dyDescent="0.25"/>
    <row r="35" spans="1:4" x14ac:dyDescent="0.25">
      <c r="A35" s="15" t="s">
        <v>60</v>
      </c>
    </row>
    <row r="36" spans="1:4" x14ac:dyDescent="0.25">
      <c r="A36" s="1" t="s">
        <v>61</v>
      </c>
      <c r="B36" s="1" t="s">
        <v>62</v>
      </c>
      <c r="C36" s="11">
        <v>10</v>
      </c>
    </row>
    <row r="37" spans="1:4" x14ac:dyDescent="0.25">
      <c r="A37" s="1" t="s">
        <v>63</v>
      </c>
      <c r="B37" t="s">
        <v>64</v>
      </c>
      <c r="C37">
        <f>(2*C27)+2</f>
        <v>44</v>
      </c>
    </row>
    <row r="38" spans="1:4" ht="18" x14ac:dyDescent="0.35">
      <c r="A38" s="1" t="s">
        <v>65</v>
      </c>
      <c r="B38" t="s">
        <v>66</v>
      </c>
      <c r="C38">
        <f>IF((C43-C39-C42-C41-((C22-C40)/2)/(SQRT(3)/3))&lt;C27,"NELZE",(C43-C39-C42-C41-((C22-C40)/2)/(SQRT(3)/3)))</f>
        <v>24.933974596215563</v>
      </c>
      <c r="D38">
        <f>(C43-C39-C42-C41-((C22-C40)/2)/(SQRT(3)/3))</f>
        <v>24.933974596215563</v>
      </c>
    </row>
    <row r="39" spans="1:4" x14ac:dyDescent="0.25">
      <c r="A39" s="1" t="s">
        <v>67</v>
      </c>
      <c r="B39" t="s">
        <v>68</v>
      </c>
      <c r="C39" s="13">
        <v>17</v>
      </c>
    </row>
    <row r="40" spans="1:4" x14ac:dyDescent="0.25">
      <c r="A40" s="1" t="s">
        <v>69</v>
      </c>
      <c r="B40" t="s">
        <v>35</v>
      </c>
      <c r="C40" s="13">
        <v>16</v>
      </c>
    </row>
    <row r="41" spans="1:4" x14ac:dyDescent="0.25">
      <c r="A41" s="1" t="s">
        <v>70</v>
      </c>
      <c r="B41" t="s">
        <v>71</v>
      </c>
      <c r="C41" s="13">
        <v>2.2000000000000002</v>
      </c>
    </row>
    <row r="42" spans="1:4" x14ac:dyDescent="0.25">
      <c r="A42" s="1" t="s">
        <v>72</v>
      </c>
      <c r="B42" t="s">
        <v>73</v>
      </c>
      <c r="C42" s="13">
        <v>5</v>
      </c>
    </row>
    <row r="43" spans="1:4" x14ac:dyDescent="0.25">
      <c r="A43" s="1" t="s">
        <v>74</v>
      </c>
      <c r="B43" t="s">
        <v>64</v>
      </c>
      <c r="C43" s="11">
        <v>50</v>
      </c>
    </row>
    <row r="44" spans="1:4" x14ac:dyDescent="0.25">
      <c r="A44" s="1" t="s">
        <v>75</v>
      </c>
      <c r="B44" t="s">
        <v>76</v>
      </c>
      <c r="C44" t="str">
        <f>IF((C32*1000)/(C22*(C38-C27))&gt;C9, "NEVYHOVUJE", "VYHOVUJE")</f>
        <v>VYHOVUJE</v>
      </c>
      <c r="D44">
        <f>(C32*1000)/(C22*(C38-C27))</f>
        <v>43.106873698439628</v>
      </c>
    </row>
    <row r="45" spans="1:4" ht="15" customHeight="1" x14ac:dyDescent="0.25">
      <c r="A45" s="1" t="s">
        <v>77</v>
      </c>
      <c r="B45" t="s">
        <v>78</v>
      </c>
      <c r="C45" s="2" t="str">
        <f>IF((C32*1000)/((PI()*C22*C22)/4)&gt;C6, "NEVYHOVUJE", "VYHOVUJE")</f>
        <v>VYHOVUJE</v>
      </c>
      <c r="D45">
        <f>(C32*1000)/((PI()*C22*C22)/4)</f>
        <v>12.701039755455348</v>
      </c>
    </row>
    <row r="46" spans="1:4" ht="2.25" customHeight="1" x14ac:dyDescent="0.25">
      <c r="A46" s="1"/>
      <c r="C46" s="2"/>
    </row>
    <row r="47" spans="1:4" ht="14.25" customHeight="1" x14ac:dyDescent="0.25">
      <c r="A47" s="15" t="s">
        <v>79</v>
      </c>
    </row>
    <row r="48" spans="1:4" x14ac:dyDescent="0.25">
      <c r="A48" s="1" t="s">
        <v>80</v>
      </c>
      <c r="B48" t="s">
        <v>64</v>
      </c>
      <c r="C48" s="11">
        <v>56</v>
      </c>
    </row>
    <row r="49" spans="1:4" x14ac:dyDescent="0.25">
      <c r="A49" s="1" t="s">
        <v>81</v>
      </c>
      <c r="B49" t="s">
        <v>68</v>
      </c>
      <c r="C49" s="11">
        <v>20</v>
      </c>
    </row>
    <row r="50" spans="1:4" x14ac:dyDescent="0.25">
      <c r="A50" s="1" t="s">
        <v>82</v>
      </c>
      <c r="B50" t="s">
        <v>83</v>
      </c>
      <c r="C50" s="11">
        <v>12</v>
      </c>
    </row>
    <row r="51" spans="1:4" ht="18" x14ac:dyDescent="0.35">
      <c r="A51" s="1" t="s">
        <v>84</v>
      </c>
      <c r="B51" t="s">
        <v>85</v>
      </c>
      <c r="C51" s="11">
        <v>4.5999999999999996</v>
      </c>
    </row>
    <row r="52" spans="1:4" x14ac:dyDescent="0.25">
      <c r="A52" s="1" t="s">
        <v>75</v>
      </c>
      <c r="B52" t="s">
        <v>76</v>
      </c>
      <c r="C52" t="str">
        <f>IF(((C33*1000)/(C51*C48))&gt;C10, "NEVYHOVUJE", "VYHOVUJE")</f>
        <v>VYHOVUJE</v>
      </c>
      <c r="D52">
        <f>((C33*1000)/(C51*C48))</f>
        <v>29.57704821058859</v>
      </c>
    </row>
    <row r="53" spans="1:4" ht="15" customHeight="1" x14ac:dyDescent="0.25">
      <c r="A53" s="1" t="s">
        <v>86</v>
      </c>
      <c r="B53" t="s">
        <v>78</v>
      </c>
      <c r="C53" t="str">
        <f>IF(((C33*1000)/(C48*C49))&gt;C7, "NEVYHOVUJE", "VYHOVUJE")</f>
        <v>VYHOVUJE</v>
      </c>
      <c r="D53">
        <f>((C33*1000)/(C48*C49))</f>
        <v>6.8027210884353746</v>
      </c>
    </row>
    <row r="54" spans="1:4" ht="2.25" customHeight="1" x14ac:dyDescent="0.25">
      <c r="A54" s="1"/>
    </row>
    <row r="55" spans="1:4" x14ac:dyDescent="0.25">
      <c r="A55" s="3" t="s">
        <v>87</v>
      </c>
    </row>
    <row r="56" spans="1:4" x14ac:dyDescent="0.25">
      <c r="A56" s="1" t="s">
        <v>88</v>
      </c>
      <c r="B56" t="s">
        <v>89</v>
      </c>
      <c r="C56">
        <f>(PI()*(C24/1000)*C3)/60</f>
        <v>9.2362824015539911</v>
      </c>
    </row>
    <row r="57" spans="1:4" x14ac:dyDescent="0.25">
      <c r="A57" s="1" t="s">
        <v>90</v>
      </c>
      <c r="B57" t="s">
        <v>91</v>
      </c>
      <c r="C57" s="14" t="str">
        <f>IF(C56&lt;30, "Šedá litina", "Ocel")</f>
        <v>Šedá litina</v>
      </c>
    </row>
  </sheetData>
  <conditionalFormatting sqref="C38">
    <cfRule type="containsText" dxfId="4" priority="1" operator="containsText" text="NELZE">
      <formula>NOT(ISERROR(SEARCH("NELZE",C38)))</formula>
    </cfRule>
  </conditionalFormatting>
  <conditionalFormatting sqref="C44:C45">
    <cfRule type="containsText" dxfId="3" priority="2" operator="containsText" text="NEVYHOVUJE">
      <formula>NOT(ISERROR(SEARCH("NEVYHOVUJE",C44)))</formula>
    </cfRule>
    <cfRule type="containsText" dxfId="2" priority="3" operator="containsText" text="VYHOVUJE">
      <formula>NOT(ISERROR(SEARCH("VYHOVUJE",C44)))</formula>
    </cfRule>
  </conditionalFormatting>
  <conditionalFormatting sqref="C52:C53">
    <cfRule type="containsText" dxfId="1" priority="10" operator="containsText" text="NEVYHOVUJE">
      <formula>NOT(ISERROR(SEARCH("NEVYHOVUJE",C52)))</formula>
    </cfRule>
    <cfRule type="containsText" dxfId="0" priority="13" operator="containsText" text="VYHOVUJE">
      <formula>NOT(ISERROR(SEARCH("VYHOVUJE",C52)))</formula>
    </cfRule>
  </conditionalFormatting>
  <dataValidations count="4">
    <dataValidation type="decimal" operator="greaterThan" allowBlank="1" showInputMessage="1" showErrorMessage="1" errorTitle="Špatná hodnota" error="Vložte číslo, které je větší jak nula." sqref="C2:C10" xr:uid="{00000000-0002-0000-0000-000000000000}">
      <formula1>0</formula1>
    </dataValidation>
    <dataValidation type="decimal" operator="greaterThanOrEqual" allowBlank="1" showInputMessage="1" showErrorMessage="1" errorTitle="Špatná hodnota" error="Vložte číslo, které je větší jak nula." sqref="C48:C51 C16 C21:C27 C36 C39:C43" xr:uid="{00000000-0002-0000-0000-000001000000}">
      <formula1>0</formula1>
    </dataValidation>
    <dataValidation type="whole" operator="greaterThanOrEqual" allowBlank="1" showInputMessage="1" showErrorMessage="1" errorTitle="Špatná hodnota" error="Vložte číslo, které je větší jak nula." sqref="C19" xr:uid="{A9C310EB-0E73-4C66-9D9E-81F7D4244210}">
      <formula1>0</formula1>
    </dataValidation>
    <dataValidation type="whole" operator="greaterThanOrEqual" allowBlank="1" showInputMessage="1" showErrorMessage="1" errorTitle="Špatná hodnota" error="Vložte číslo, které je větší jak nula a je celé." sqref="C28 C13" xr:uid="{C9123153-8C43-4765-9C1C-90D114053053}">
      <formula1>0</formula1>
    </dataValidation>
  </dataValidations>
  <pageMargins left="0.7" right="0.7" top="0.78740157499999996" bottom="0.78740157499999996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f5d252-cb05-4671-997e-785e1439a0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FDC14154E16FF40B1309D269032EB63" ma:contentTypeVersion="15" ma:contentTypeDescription="Vytvoří nový dokument" ma:contentTypeScope="" ma:versionID="04a9a1fcc75defb6bb488e401c3a014a">
  <xsd:schema xmlns:xsd="http://www.w3.org/2001/XMLSchema" xmlns:xs="http://www.w3.org/2001/XMLSchema" xmlns:p="http://schemas.microsoft.com/office/2006/metadata/properties" xmlns:ns3="20f5d252-cb05-4671-997e-785e1439a00b" xmlns:ns4="efc3a9eb-360f-4070-bc1e-0032d87181fd" targetNamespace="http://schemas.microsoft.com/office/2006/metadata/properties" ma:root="true" ma:fieldsID="27313fe539370a7f776e7b73a54f4372" ns3:_="" ns4:_="">
    <xsd:import namespace="20f5d252-cb05-4671-997e-785e1439a00b"/>
    <xsd:import namespace="efc3a9eb-360f-4070-bc1e-0032d87181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5d252-cb05-4671-997e-785e1439a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3a9eb-360f-4070-bc1e-0032d87181f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EACBAD-539E-4167-B48C-B487267486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B6E81D-57C8-402C-BDF5-97080D28D510}">
  <ds:schemaRefs>
    <ds:schemaRef ds:uri="http://www.w3.org/XML/1998/namespace"/>
    <ds:schemaRef ds:uri="http://purl.org/dc/dcmitype/"/>
    <ds:schemaRef ds:uri="http://schemas.microsoft.com/office/2006/metadata/properties"/>
    <ds:schemaRef ds:uri="20f5d252-cb05-4671-997e-785e1439a00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fc3a9eb-360f-4070-bc1e-0032d87181fd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49B861A-C8AF-4911-8865-7212CDAF2B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f5d252-cb05-4671-997e-785e1439a00b"/>
    <ds:schemaRef ds:uri="efc3a9eb-360f-4070-bc1e-0032d8718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</dc:creator>
  <cp:keywords/>
  <dc:description/>
  <cp:lastModifiedBy>Roman Suk</cp:lastModifiedBy>
  <cp:revision/>
  <dcterms:created xsi:type="dcterms:W3CDTF">2023-04-25T16:38:01Z</dcterms:created>
  <dcterms:modified xsi:type="dcterms:W3CDTF">2024-05-12T09:10:17Z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0x0101001FDC14154E16FF40B1309D269032EB63</vt:lpwstr>
  </property>
</Properties>
</file>