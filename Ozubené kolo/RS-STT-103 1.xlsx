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4"/>
  <workbookPr/>
  <mc:AlternateContent xmlns:mc="http://schemas.openxmlformats.org/markup-compatibility/2006">
    <mc:Choice Requires="x15">
      <x15ac:absPath xmlns:x15ac="http://schemas.microsoft.com/office/spreadsheetml/2010/11/ac" url="C:\Users\Roman Suk\Documents\STT\3\"/>
    </mc:Choice>
  </mc:AlternateContent>
  <xr:revisionPtr revIDLastSave="44" documentId="13_ncr:1_{2D419FEB-824E-47AB-BFE2-69D2A71C9F49}" xr6:coauthVersionLast="47" xr6:coauthVersionMax="47" xr10:uidLastSave="{4F92CD3E-D919-4182-B523-C0773E4F850D}"/>
  <bookViews>
    <workbookView xWindow="-120" yWindow="-120" windowWidth="29040" windowHeight="15840" xr2:uid="{DF51E80B-42E3-4038-8EC9-852F189704E5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" l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6" i="1"/>
  <c r="O7" i="1"/>
  <c r="K12" i="1"/>
  <c r="H12" i="1"/>
  <c r="K9" i="1"/>
  <c r="K10" i="1"/>
  <c r="K14" i="1"/>
  <c r="K16" i="1"/>
  <c r="K18" i="1"/>
  <c r="K7" i="1"/>
  <c r="J19" i="1"/>
  <c r="K19" i="1" s="1"/>
  <c r="J20" i="1"/>
  <c r="K20" i="1" s="1"/>
  <c r="J21" i="1"/>
  <c r="K21" i="1" s="1"/>
  <c r="J15" i="1"/>
  <c r="K15" i="1" s="1"/>
  <c r="J16" i="1"/>
  <c r="J17" i="1"/>
  <c r="K17" i="1" s="1"/>
  <c r="J8" i="1"/>
  <c r="K8" i="1" s="1"/>
  <c r="J10" i="1"/>
  <c r="J11" i="1"/>
  <c r="K11" i="1" s="1"/>
  <c r="J13" i="1"/>
  <c r="K13" i="1" s="1"/>
  <c r="J6" i="1"/>
  <c r="K6" i="1" s="1"/>
  <c r="H8" i="1"/>
  <c r="H9" i="1"/>
  <c r="H10" i="1"/>
  <c r="H11" i="1"/>
  <c r="H13" i="1"/>
  <c r="H14" i="1"/>
  <c r="H15" i="1"/>
  <c r="H16" i="1"/>
  <c r="H17" i="1"/>
  <c r="H18" i="1"/>
  <c r="H19" i="1"/>
  <c r="H20" i="1"/>
  <c r="H21" i="1"/>
  <c r="H7" i="1"/>
  <c r="H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Roman Suk</author>
  </authors>
  <commentList>
    <comment ref="C5" authorId="0" shapeId="0" xr:uid="{16B38ED9-6E08-400B-AF6E-C13CC8357094}">
      <text>
        <r>
          <rPr>
            <b/>
            <sz val="9"/>
            <color indexed="81"/>
            <rFont val="Tahoma"/>
            <family val="2"/>
            <charset val="238"/>
          </rPr>
          <t>Roman Suk:</t>
        </r>
        <r>
          <rPr>
            <sz val="9"/>
            <color indexed="81"/>
            <rFont val="Tahoma"/>
            <family val="2"/>
            <charset val="238"/>
          </rPr>
          <t xml:space="preserve">
STT 843-851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<sst xmlns="http://schemas.openxmlformats.org/spreadsheetml/2006/main" count="49" uniqueCount="44">
  <si>
    <t>Název součásti</t>
  </si>
  <si>
    <t>Matice s posuvnou rukojetí</t>
  </si>
  <si>
    <t>Číslo výkresu</t>
  </si>
  <si>
    <t>RS-STT-103</t>
  </si>
  <si>
    <t>List č.</t>
  </si>
  <si>
    <t>Materiál</t>
  </si>
  <si>
    <t>11 110 (1.0721)</t>
  </si>
  <si>
    <t>Počet listů</t>
  </si>
  <si>
    <t>Polotovar</t>
  </si>
  <si>
    <t>KR 18h11-65 ČSN 42 6510</t>
  </si>
  <si>
    <t>Vypracoval</t>
  </si>
  <si>
    <t>Roman Suk</t>
  </si>
  <si>
    <t>Počet kusů</t>
  </si>
  <si>
    <t>Datum</t>
  </si>
  <si>
    <t>Hmotnost polotovaru</t>
  </si>
  <si>
    <t>123,82 g</t>
  </si>
  <si>
    <t>Třída</t>
  </si>
  <si>
    <t>16b</t>
  </si>
  <si>
    <t>Operace</t>
  </si>
  <si>
    <t>Úsek</t>
  </si>
  <si>
    <t>Popis práce</t>
  </si>
  <si>
    <t>d [mm]</t>
  </si>
  <si>
    <t>l [mm]</t>
  </si>
  <si>
    <t>i</t>
  </si>
  <si>
    <r>
      <t>v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charset val="238"/>
        <scheme val="minor"/>
      </rPr>
      <t xml:space="preserve"> [m/min]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</si>
  <si>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charset val="238"/>
        <scheme val="minor"/>
      </rPr>
      <t xml:space="preserve">  [mm/zub]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</si>
  <si>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ot</t>
    </r>
    <r>
      <rPr>
        <sz val="11"/>
        <color theme="1"/>
        <rFont val="Aptos Narrow"/>
        <family val="2"/>
        <charset val="238"/>
        <scheme val="minor"/>
      </rPr>
      <t xml:space="preserve"> [mm/ot]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</si>
  <si>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f</t>
    </r>
    <r>
      <rPr>
        <sz val="11"/>
        <color theme="1"/>
        <rFont val="Aptos Narrow"/>
        <family val="2"/>
        <charset val="238"/>
        <scheme val="minor"/>
      </rPr>
      <t xml:space="preserve"> [mm/min]</t>
    </r>
  </si>
  <si>
    <r>
      <t>k</t>
    </r>
    <r>
      <rPr>
        <vertAlign val="subscript"/>
        <sz val="11"/>
        <color theme="1"/>
        <rFont val="Aptos Narrow"/>
        <family val="2"/>
        <scheme val="minor"/>
      </rPr>
      <t>v1</t>
    </r>
  </si>
  <si>
    <t>z</t>
  </si>
  <si>
    <t>n [ot/min]</t>
  </si>
  <si>
    <r>
      <rPr>
        <sz val="11"/>
        <color rgb="FF000000"/>
        <rFont val="Aptos Narrow"/>
      </rPr>
      <t>t</t>
    </r>
    <r>
      <rPr>
        <vertAlign val="subscript"/>
        <sz val="11"/>
        <color rgb="FF000000"/>
        <rFont val="Aptos Narrow"/>
      </rPr>
      <t>As</t>
    </r>
    <r>
      <rPr>
        <sz val="11"/>
        <color rgb="FF000000"/>
        <rFont val="Aptos Narrow"/>
      </rPr>
      <t xml:space="preserve"> [s]</t>
    </r>
  </si>
  <si>
    <t>Poznámka</t>
  </si>
  <si>
    <t>Soustružení</t>
  </si>
  <si>
    <t>Zarovnat čelo</t>
  </si>
  <si>
    <t>Vrtání</t>
  </si>
  <si>
    <t>Vrtat ⌀14</t>
  </si>
  <si>
    <t>Zkosit hrany 0,5×120°</t>
  </si>
  <si>
    <t>Soustružení (otočení polotovaru)</t>
  </si>
  <si>
    <t>Vrtat ⌀8,5</t>
  </si>
  <si>
    <t>Kontrola</t>
  </si>
  <si>
    <t>Vrtat ⌀8</t>
  </si>
  <si>
    <t>Řezání závitu</t>
  </si>
  <si>
    <t>Řezat závit M10×1,5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</si>
</sst>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vertAlign val="subscript"/>
      <sz val="11"/>
      <color theme="1"/>
      <name val="Aptos Narrow"/>
      <family val="2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1"/>
      <color rgb="FF000000"/>
      <name val="Aptos Narrow"/>
    </font>
    <font>
      <vertAlign val="subscript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22" xfId="0" applyBorder="1" applyAlignment="1">
      <alignment horizontal="center"/>
    </xf>
    <xf numFmtId="0" fontId="0" fillId="2" borderId="32" xfId="1" applyFont="1" applyBorder="1" applyAlignment="1">
      <alignment horizontal="left"/>
    </xf>
    <xf numFmtId="0" fontId="1" fillId="2" borderId="33" xfId="1" applyBorder="1" applyAlignment="1">
      <alignment horizontal="left"/>
    </xf>
    <xf numFmtId="0" fontId="1" fillId="2" borderId="8" xfId="1" applyBorder="1" applyAlignment="1">
      <alignment horizontal="left"/>
    </xf>
    <xf numFmtId="0" fontId="1" fillId="2" borderId="34" xfId="1" applyBorder="1" applyAlignment="1">
      <alignment horizontal="left"/>
    </xf>
    <xf numFmtId="0" fontId="0" fillId="2" borderId="9" xfId="1" applyFont="1" applyBorder="1" applyAlignment="1">
      <alignment horizontal="left"/>
    </xf>
    <xf numFmtId="0" fontId="0" fillId="2" borderId="34" xfId="1" applyFont="1" applyBorder="1" applyAlignment="1">
      <alignment horizontal="left"/>
    </xf>
    <xf numFmtId="0" fontId="0" fillId="2" borderId="35" xfId="1" applyFont="1" applyBorder="1" applyAlignment="1">
      <alignment horizontal="left"/>
    </xf>
    <xf numFmtId="2" fontId="0" fillId="0" borderId="7" xfId="0" applyNumberFormat="1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43" xfId="0" applyBorder="1" applyAlignment="1">
      <alignment horizontal="left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50" xfId="0" applyBorder="1" applyAlignment="1">
      <alignment horizontal="left"/>
    </xf>
    <xf numFmtId="0" fontId="0" fillId="0" borderId="51" xfId="0" applyBorder="1" applyAlignment="1">
      <alignment horizontal="left"/>
    </xf>
    <xf numFmtId="0" fontId="0" fillId="0" borderId="52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53" xfId="0" applyBorder="1" applyAlignment="1">
      <alignment horizontal="left"/>
    </xf>
    <xf numFmtId="0" fontId="5" fillId="2" borderId="8" xfId="1" applyFont="1" applyBorder="1" applyAlignment="1">
      <alignment horizontal="left"/>
    </xf>
    <xf numFmtId="164" fontId="0" fillId="0" borderId="0" xfId="0" applyNumberFormat="1"/>
    <xf numFmtId="1" fontId="0" fillId="0" borderId="7" xfId="0" applyNumberFormat="1" applyBorder="1" applyAlignment="1">
      <alignment horizontal="left"/>
    </xf>
    <xf numFmtId="165" fontId="0" fillId="0" borderId="22" xfId="0" applyNumberFormat="1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2" borderId="33" xfId="1" applyFont="1" applyBorder="1" applyAlignment="1">
      <alignment horizontal="left"/>
    </xf>
    <xf numFmtId="0" fontId="1" fillId="2" borderId="32" xfId="1" applyBorder="1" applyAlignment="1">
      <alignment horizontal="left"/>
    </xf>
    <xf numFmtId="0" fontId="0" fillId="0" borderId="38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26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48" xfId="0" applyBorder="1" applyAlignment="1">
      <alignment horizontal="left"/>
    </xf>
    <xf numFmtId="0" fontId="0" fillId="0" borderId="49" xfId="0" applyBorder="1" applyAlignment="1">
      <alignment horizontal="left"/>
    </xf>
  </cellXfs>
  <cellStyles count="2">
    <cellStyle name="40 % – Zvýraznění 1" xfId="1" builtinId="31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074EA-20A0-4DA0-BEFD-C20A9AE3EFBC}">
  <sheetPr>
    <pageSetUpPr fitToPage="1"/>
  </sheetPr>
  <dimension ref="A1:Q32"/>
  <sheetViews>
    <sheetView tabSelected="1" workbookViewId="0">
      <selection activeCell="V21" sqref="V21"/>
    </sheetView>
  </sheetViews>
  <sheetFormatPr defaultRowHeight="15"/>
  <cols>
    <col min="1" max="2" width="9.140625" customWidth="1"/>
    <col min="3" max="3" width="16.85546875" customWidth="1"/>
    <col min="4" max="4" width="18.28515625" customWidth="1"/>
    <col min="5" max="5" width="7.140625" bestFit="1" customWidth="1"/>
    <col min="6" max="6" width="6.5703125" bestFit="1" customWidth="1"/>
    <col min="7" max="7" width="3.85546875" customWidth="1"/>
    <col min="8" max="8" width="10" customWidth="1"/>
    <col min="9" max="9" width="11.5703125" customWidth="1"/>
    <col min="10" max="10" width="10.28515625" customWidth="1"/>
    <col min="11" max="11" width="11.140625" customWidth="1"/>
    <col min="12" max="12" width="4.5703125" bestFit="1" customWidth="1"/>
    <col min="13" max="13" width="2.42578125" customWidth="1"/>
    <col min="14" max="14" width="12.140625" customWidth="1"/>
    <col min="15" max="15" width="16.140625" bestFit="1" customWidth="1"/>
    <col min="16" max="16" width="23.42578125" customWidth="1"/>
  </cols>
  <sheetData>
    <row r="1" spans="1:17">
      <c r="A1" s="73" t="e" vm="1">
        <v>#VALUE!</v>
      </c>
      <c r="B1" s="74"/>
      <c r="C1" s="62" t="s">
        <v>0</v>
      </c>
      <c r="D1" s="64" t="s">
        <v>1</v>
      </c>
      <c r="E1" s="65"/>
      <c r="F1" s="53" t="s">
        <v>2</v>
      </c>
      <c r="G1" s="54"/>
      <c r="H1" s="55"/>
      <c r="I1" s="68" t="s">
        <v>3</v>
      </c>
      <c r="J1" s="69"/>
      <c r="K1" s="69"/>
      <c r="L1" s="69"/>
      <c r="M1" s="69"/>
      <c r="N1" s="70"/>
      <c r="O1" s="4" t="s">
        <v>4</v>
      </c>
      <c r="P1" s="10">
        <v>1</v>
      </c>
    </row>
    <row r="2" spans="1:17">
      <c r="A2" s="75"/>
      <c r="B2" s="76"/>
      <c r="C2" s="63"/>
      <c r="D2" s="66"/>
      <c r="E2" s="67"/>
      <c r="F2" s="56" t="s">
        <v>5</v>
      </c>
      <c r="G2" s="57"/>
      <c r="H2" s="58"/>
      <c r="I2" s="71" t="s">
        <v>6</v>
      </c>
      <c r="J2" s="57"/>
      <c r="K2" s="57"/>
      <c r="L2" s="57"/>
      <c r="M2" s="58"/>
      <c r="N2" s="72"/>
      <c r="O2" s="5" t="s">
        <v>7</v>
      </c>
      <c r="P2" s="11">
        <v>1</v>
      </c>
    </row>
    <row r="3" spans="1:17">
      <c r="A3" s="75"/>
      <c r="B3" s="76"/>
      <c r="C3" s="8" t="s">
        <v>8</v>
      </c>
      <c r="D3" s="57" t="s">
        <v>9</v>
      </c>
      <c r="E3" s="72"/>
      <c r="F3" s="56" t="s">
        <v>10</v>
      </c>
      <c r="G3" s="57"/>
      <c r="H3" s="58"/>
      <c r="I3" s="71" t="s">
        <v>11</v>
      </c>
      <c r="J3" s="57"/>
      <c r="K3" s="57"/>
      <c r="L3" s="57"/>
      <c r="M3" s="58"/>
      <c r="N3" s="72"/>
      <c r="O3" s="5" t="s">
        <v>12</v>
      </c>
      <c r="P3" s="11">
        <v>1</v>
      </c>
    </row>
    <row r="4" spans="1:17" ht="15.75" thickBot="1">
      <c r="A4" s="77"/>
      <c r="B4" s="78"/>
      <c r="C4" s="9" t="s">
        <v>13</v>
      </c>
      <c r="D4" s="81">
        <v>45453</v>
      </c>
      <c r="E4" s="48"/>
      <c r="F4" s="59" t="s">
        <v>14</v>
      </c>
      <c r="G4" s="60"/>
      <c r="H4" s="61"/>
      <c r="I4" s="45" t="s">
        <v>15</v>
      </c>
      <c r="J4" s="46"/>
      <c r="K4" s="46"/>
      <c r="L4" s="46"/>
      <c r="M4" s="47"/>
      <c r="N4" s="48"/>
      <c r="O4" s="6" t="s">
        <v>16</v>
      </c>
      <c r="P4" s="12" t="s">
        <v>17</v>
      </c>
    </row>
    <row r="5" spans="1:17">
      <c r="A5" s="16" t="s">
        <v>18</v>
      </c>
      <c r="B5" s="17" t="s">
        <v>19</v>
      </c>
      <c r="C5" s="49" t="s">
        <v>20</v>
      </c>
      <c r="D5" s="50"/>
      <c r="E5" s="16" t="s">
        <v>21</v>
      </c>
      <c r="F5" s="18" t="s">
        <v>22</v>
      </c>
      <c r="G5" s="18" t="s">
        <v>23</v>
      </c>
      <c r="H5" s="15" t="s">
        <v>24</v>
      </c>
      <c r="I5" s="19" t="s">
        <v>25</v>
      </c>
      <c r="J5" s="20" t="s">
        <v>26</v>
      </c>
      <c r="K5" s="20" t="s">
        <v>27</v>
      </c>
      <c r="L5" s="20" t="s">
        <v>28</v>
      </c>
      <c r="M5" s="20" t="s">
        <v>29</v>
      </c>
      <c r="N5" s="18" t="s">
        <v>30</v>
      </c>
      <c r="O5" s="39" t="s">
        <v>31</v>
      </c>
      <c r="P5" s="21" t="s">
        <v>32</v>
      </c>
    </row>
    <row r="6" spans="1:17">
      <c r="A6" s="23">
        <v>1</v>
      </c>
      <c r="B6" s="24"/>
      <c r="C6" s="51" t="s">
        <v>33</v>
      </c>
      <c r="D6" s="52"/>
      <c r="E6" s="25"/>
      <c r="F6" s="26"/>
      <c r="G6" s="26"/>
      <c r="H6" s="26" t="str">
        <f>IF(PI()*E6*N6*L6*0.001=0,"",PI()*E6*N6*L6*0.001)</f>
        <v/>
      </c>
      <c r="I6" s="26"/>
      <c r="J6" s="27" t="str">
        <f>IF(I6*M6=0,"",I6*M6)</f>
        <v/>
      </c>
      <c r="K6" s="26" t="str">
        <f>IF(J6="","",J6*N6)</f>
        <v/>
      </c>
      <c r="L6" s="26"/>
      <c r="M6" s="26"/>
      <c r="N6" s="26"/>
      <c r="O6" s="28" t="str">
        <f>IF(K6="","",IF(K6=0,"",(F6/K6)*60))</f>
        <v/>
      </c>
      <c r="P6" s="29"/>
    </row>
    <row r="7" spans="1:17">
      <c r="A7" s="30"/>
      <c r="B7" s="14">
        <v>1</v>
      </c>
      <c r="C7" s="43" t="s">
        <v>34</v>
      </c>
      <c r="D7" s="44"/>
      <c r="E7" s="5">
        <v>18</v>
      </c>
      <c r="F7" s="3">
        <v>5</v>
      </c>
      <c r="G7" s="3"/>
      <c r="H7" s="41">
        <f>IF(PI()*E7*N7*L7*0.001=0,"",PI()*E7*N7*L7*0.001)</f>
        <v>99.525655265724652</v>
      </c>
      <c r="I7" s="3"/>
      <c r="J7" s="3">
        <v>7.0000000000000007E-2</v>
      </c>
      <c r="K7" s="13">
        <f>IF(J7="","",J7*N7)</f>
        <v>77.000000000000014</v>
      </c>
      <c r="L7" s="3">
        <v>1.6</v>
      </c>
      <c r="M7" s="3"/>
      <c r="N7" s="3">
        <v>1100</v>
      </c>
      <c r="O7" s="42">
        <f>IF(K7="","",IF(K7=0,"",(F7/K7)*60))</f>
        <v>3.8961038961038956</v>
      </c>
      <c r="P7" s="31"/>
    </row>
    <row r="8" spans="1:17">
      <c r="A8" s="30">
        <v>2</v>
      </c>
      <c r="B8" s="14"/>
      <c r="C8" s="79" t="s">
        <v>35</v>
      </c>
      <c r="D8" s="80"/>
      <c r="E8" s="5"/>
      <c r="F8" s="3"/>
      <c r="G8" s="3"/>
      <c r="H8" s="41" t="str">
        <f t="shared" ref="H8:H21" si="0">IF(PI()*E8*N8*L8*0.001=0,"",PI()*E8*N8*L8*0.001)</f>
        <v/>
      </c>
      <c r="I8" s="3"/>
      <c r="J8" s="3" t="str">
        <f t="shared" ref="J8:J21" si="1">IF(I8*M8=0,"",I8*M8)</f>
        <v/>
      </c>
      <c r="K8" s="13" t="str">
        <f>IF(J8="","",J8*N8)</f>
        <v/>
      </c>
      <c r="L8" s="3"/>
      <c r="M8" s="3"/>
      <c r="N8" s="3"/>
      <c r="O8" s="42" t="str">
        <f t="shared" ref="O8:O21" si="2">IF(K8="","",IF(K8=0,"",(F8/K8)*60))</f>
        <v/>
      </c>
      <c r="P8" s="31"/>
    </row>
    <row r="9" spans="1:17">
      <c r="A9" s="30"/>
      <c r="B9" s="14">
        <v>1</v>
      </c>
      <c r="C9" s="79" t="s">
        <v>36</v>
      </c>
      <c r="D9" s="80"/>
      <c r="E9" s="5">
        <v>14</v>
      </c>
      <c r="F9" s="3">
        <v>20</v>
      </c>
      <c r="G9" s="3"/>
      <c r="H9" s="41">
        <f t="shared" si="0"/>
        <v>34.833979343003634</v>
      </c>
      <c r="I9" s="3"/>
      <c r="J9" s="3">
        <v>0.17</v>
      </c>
      <c r="K9" s="13">
        <f t="shared" ref="K9:K21" si="3">IF(J9="","",J9*N9)</f>
        <v>93.5</v>
      </c>
      <c r="L9" s="22">
        <v>1.44</v>
      </c>
      <c r="M9" s="3"/>
      <c r="N9" s="3">
        <v>550</v>
      </c>
      <c r="O9" s="42">
        <f t="shared" si="2"/>
        <v>12.834224598930481</v>
      </c>
      <c r="P9" s="31"/>
    </row>
    <row r="10" spans="1:17">
      <c r="A10" s="30"/>
      <c r="B10" s="14">
        <v>2</v>
      </c>
      <c r="C10" s="43" t="s">
        <v>37</v>
      </c>
      <c r="D10" s="44"/>
      <c r="E10" s="5"/>
      <c r="F10" s="3"/>
      <c r="G10" s="3"/>
      <c r="H10" s="41" t="str">
        <f t="shared" si="0"/>
        <v/>
      </c>
      <c r="I10" s="3"/>
      <c r="J10" s="3" t="str">
        <f t="shared" si="1"/>
        <v/>
      </c>
      <c r="K10" s="13" t="str">
        <f t="shared" si="3"/>
        <v/>
      </c>
      <c r="L10" s="3"/>
      <c r="M10" s="3"/>
      <c r="N10" s="3"/>
      <c r="O10" s="42" t="str">
        <f t="shared" si="2"/>
        <v/>
      </c>
      <c r="P10" s="31"/>
    </row>
    <row r="11" spans="1:17">
      <c r="A11" s="30">
        <v>3</v>
      </c>
      <c r="B11" s="14"/>
      <c r="C11" s="79" t="s">
        <v>38</v>
      </c>
      <c r="D11" s="80"/>
      <c r="E11" s="5"/>
      <c r="F11" s="3"/>
      <c r="G11" s="3"/>
      <c r="H11" s="41" t="str">
        <f t="shared" si="0"/>
        <v/>
      </c>
      <c r="I11" s="3"/>
      <c r="J11" s="3" t="str">
        <f t="shared" si="1"/>
        <v/>
      </c>
      <c r="K11" s="13" t="str">
        <f t="shared" si="3"/>
        <v/>
      </c>
      <c r="L11" s="3"/>
      <c r="M11" s="3"/>
      <c r="N11" s="3"/>
      <c r="O11" s="42" t="str">
        <f t="shared" si="2"/>
        <v/>
      </c>
      <c r="P11" s="31"/>
      <c r="Q11" s="40"/>
    </row>
    <row r="12" spans="1:17">
      <c r="A12" s="30"/>
      <c r="B12" s="14">
        <v>1</v>
      </c>
      <c r="C12" s="43" t="s">
        <v>34</v>
      </c>
      <c r="D12" s="44"/>
      <c r="E12" s="5">
        <v>18</v>
      </c>
      <c r="F12" s="3">
        <v>5</v>
      </c>
      <c r="G12" s="3"/>
      <c r="H12" s="41">
        <f>IF(PI()*E12*N12*L12*0.001=0,"",PI()*E12*N12*L12*0.001)</f>
        <v>99.525655265724652</v>
      </c>
      <c r="I12" s="3"/>
      <c r="J12" s="3">
        <v>7.0000000000000007E-2</v>
      </c>
      <c r="K12" s="13">
        <f>IF(J12="","",J12*N12)</f>
        <v>77.000000000000014</v>
      </c>
      <c r="L12" s="3">
        <v>1.6</v>
      </c>
      <c r="M12" s="3"/>
      <c r="N12" s="3">
        <v>1100</v>
      </c>
      <c r="O12" s="42">
        <f t="shared" si="2"/>
        <v>3.8961038961038956</v>
      </c>
      <c r="P12" s="31"/>
    </row>
    <row r="13" spans="1:17">
      <c r="A13" s="30">
        <v>4</v>
      </c>
      <c r="B13" s="14"/>
      <c r="C13" s="43" t="s">
        <v>35</v>
      </c>
      <c r="D13" s="44"/>
      <c r="E13" s="5"/>
      <c r="F13" s="3"/>
      <c r="G13" s="3"/>
      <c r="H13" s="41" t="str">
        <f t="shared" si="0"/>
        <v/>
      </c>
      <c r="I13" s="3"/>
      <c r="J13" s="3" t="str">
        <f t="shared" si="1"/>
        <v/>
      </c>
      <c r="K13" s="13" t="str">
        <f t="shared" si="3"/>
        <v/>
      </c>
      <c r="L13" s="3"/>
      <c r="M13" s="3"/>
      <c r="N13" s="3"/>
      <c r="O13" s="42" t="str">
        <f t="shared" si="2"/>
        <v/>
      </c>
      <c r="P13" s="31"/>
    </row>
    <row r="14" spans="1:17">
      <c r="A14" s="30"/>
      <c r="B14" s="14">
        <v>1</v>
      </c>
      <c r="C14" s="43" t="s">
        <v>39</v>
      </c>
      <c r="D14" s="44"/>
      <c r="E14" s="5">
        <v>8.5</v>
      </c>
      <c r="F14" s="3">
        <v>30</v>
      </c>
      <c r="G14" s="3"/>
      <c r="H14" s="41">
        <f t="shared" si="0"/>
        <v>34.223253731145775</v>
      </c>
      <c r="I14" s="3"/>
      <c r="J14" s="3">
        <v>0.12</v>
      </c>
      <c r="K14" s="13">
        <f t="shared" si="3"/>
        <v>106.8</v>
      </c>
      <c r="L14" s="22">
        <v>1.44</v>
      </c>
      <c r="M14" s="3"/>
      <c r="N14" s="3">
        <v>890</v>
      </c>
      <c r="O14" s="42">
        <f t="shared" si="2"/>
        <v>16.853932584269664</v>
      </c>
      <c r="P14" s="31"/>
    </row>
    <row r="15" spans="1:17">
      <c r="A15" s="30"/>
      <c r="B15" s="14">
        <v>2</v>
      </c>
      <c r="C15" s="43" t="s">
        <v>37</v>
      </c>
      <c r="D15" s="44"/>
      <c r="E15" s="5"/>
      <c r="F15" s="3"/>
      <c r="G15" s="3"/>
      <c r="H15" s="41" t="str">
        <f t="shared" si="0"/>
        <v/>
      </c>
      <c r="I15" s="3"/>
      <c r="J15" s="3" t="str">
        <f t="shared" si="1"/>
        <v/>
      </c>
      <c r="K15" s="13" t="str">
        <f t="shared" si="3"/>
        <v/>
      </c>
      <c r="L15" s="3"/>
      <c r="M15" s="3"/>
      <c r="N15" s="1"/>
      <c r="O15" s="42" t="str">
        <f t="shared" si="2"/>
        <v/>
      </c>
      <c r="P15" s="31"/>
    </row>
    <row r="16" spans="1:17">
      <c r="A16" s="30">
        <v>5</v>
      </c>
      <c r="B16" s="14"/>
      <c r="C16" s="43" t="s">
        <v>40</v>
      </c>
      <c r="D16" s="44"/>
      <c r="E16" s="5"/>
      <c r="F16" s="3"/>
      <c r="G16" s="3"/>
      <c r="H16" s="41" t="str">
        <f t="shared" si="0"/>
        <v/>
      </c>
      <c r="I16" s="3"/>
      <c r="J16" s="3" t="str">
        <f t="shared" si="1"/>
        <v/>
      </c>
      <c r="K16" s="13" t="str">
        <f t="shared" si="3"/>
        <v/>
      </c>
      <c r="L16" s="3"/>
      <c r="M16" s="3"/>
      <c r="N16" s="3"/>
      <c r="O16" s="42" t="str">
        <f t="shared" si="2"/>
        <v/>
      </c>
      <c r="P16" s="31"/>
    </row>
    <row r="17" spans="1:16">
      <c r="A17" s="30">
        <v>6</v>
      </c>
      <c r="B17" s="14"/>
      <c r="C17" s="43" t="s">
        <v>35</v>
      </c>
      <c r="D17" s="44"/>
      <c r="E17" s="5"/>
      <c r="F17" s="3"/>
      <c r="G17" s="3"/>
      <c r="H17" s="41" t="str">
        <f t="shared" si="0"/>
        <v/>
      </c>
      <c r="I17" s="3"/>
      <c r="J17" s="3" t="str">
        <f t="shared" si="1"/>
        <v/>
      </c>
      <c r="K17" s="13" t="str">
        <f t="shared" si="3"/>
        <v/>
      </c>
      <c r="L17" s="3"/>
      <c r="M17" s="3"/>
      <c r="N17" s="3"/>
      <c r="O17" s="42" t="str">
        <f t="shared" si="2"/>
        <v/>
      </c>
      <c r="P17" s="31"/>
    </row>
    <row r="18" spans="1:16">
      <c r="A18" s="30"/>
      <c r="B18" s="14">
        <v>1</v>
      </c>
      <c r="C18" s="43" t="s">
        <v>41</v>
      </c>
      <c r="D18" s="44"/>
      <c r="E18" s="5">
        <v>8</v>
      </c>
      <c r="F18" s="3">
        <v>25</v>
      </c>
      <c r="G18" s="3"/>
      <c r="H18" s="41">
        <f t="shared" si="0"/>
        <v>36.553058843047964</v>
      </c>
      <c r="I18" s="3"/>
      <c r="J18" s="3">
        <v>0.11</v>
      </c>
      <c r="K18" s="13">
        <f t="shared" si="3"/>
        <v>111.1</v>
      </c>
      <c r="L18" s="3">
        <v>1.44</v>
      </c>
      <c r="M18" s="3"/>
      <c r="N18" s="3">
        <v>1010</v>
      </c>
      <c r="O18" s="42">
        <f t="shared" si="2"/>
        <v>13.501350135013501</v>
      </c>
      <c r="P18" s="31"/>
    </row>
    <row r="19" spans="1:16">
      <c r="A19" s="30">
        <v>7</v>
      </c>
      <c r="B19" s="14"/>
      <c r="C19" s="43" t="s">
        <v>42</v>
      </c>
      <c r="D19" s="44"/>
      <c r="E19" s="5"/>
      <c r="F19" s="3"/>
      <c r="G19" s="3"/>
      <c r="H19" s="41" t="str">
        <f t="shared" si="0"/>
        <v/>
      </c>
      <c r="I19" s="3"/>
      <c r="J19" s="3" t="str">
        <f t="shared" si="1"/>
        <v/>
      </c>
      <c r="K19" s="13" t="str">
        <f t="shared" si="3"/>
        <v/>
      </c>
      <c r="L19" s="3"/>
      <c r="M19" s="3"/>
      <c r="N19" s="3"/>
      <c r="O19" s="7" t="str">
        <f t="shared" si="2"/>
        <v/>
      </c>
      <c r="P19" s="31"/>
    </row>
    <row r="20" spans="1:16">
      <c r="A20" s="30"/>
      <c r="B20" s="14">
        <v>1</v>
      </c>
      <c r="C20" s="43" t="s">
        <v>43</v>
      </c>
      <c r="D20" s="44"/>
      <c r="E20" s="5">
        <v>10</v>
      </c>
      <c r="F20" s="3">
        <v>18</v>
      </c>
      <c r="G20" s="3"/>
      <c r="H20" s="41" t="str">
        <f t="shared" si="0"/>
        <v/>
      </c>
      <c r="I20" s="3"/>
      <c r="J20" s="3" t="str">
        <f t="shared" si="1"/>
        <v/>
      </c>
      <c r="K20" s="13" t="str">
        <f t="shared" si="3"/>
        <v/>
      </c>
      <c r="L20" s="3"/>
      <c r="M20" s="3"/>
      <c r="N20" s="3"/>
      <c r="O20" s="7" t="str">
        <f t="shared" si="2"/>
        <v/>
      </c>
      <c r="P20" s="31"/>
    </row>
    <row r="21" spans="1:16">
      <c r="A21" s="32">
        <v>8</v>
      </c>
      <c r="B21" s="33"/>
      <c r="C21" s="83" t="s">
        <v>40</v>
      </c>
      <c r="D21" s="84"/>
      <c r="E21" s="34"/>
      <c r="F21" s="35"/>
      <c r="G21" s="35"/>
      <c r="H21" s="35" t="str">
        <f t="shared" si="0"/>
        <v/>
      </c>
      <c r="I21" s="35"/>
      <c r="J21" s="35" t="str">
        <f t="shared" si="1"/>
        <v/>
      </c>
      <c r="K21" s="36" t="str">
        <f t="shared" si="3"/>
        <v/>
      </c>
      <c r="L21" s="35"/>
      <c r="M21" s="35"/>
      <c r="N21" s="35"/>
      <c r="O21" s="37" t="str">
        <f t="shared" si="2"/>
        <v/>
      </c>
      <c r="P21" s="38"/>
    </row>
    <row r="22" spans="1:16">
      <c r="A22" s="2"/>
      <c r="B22" s="2"/>
      <c r="C22" s="82"/>
      <c r="D22" s="82"/>
      <c r="E22" s="1"/>
      <c r="F22" s="1"/>
      <c r="G22" s="1"/>
      <c r="H22" s="1"/>
      <c r="I22" s="1"/>
      <c r="J22" s="1"/>
      <c r="K22" s="1"/>
      <c r="M22" s="1"/>
      <c r="N22" s="1"/>
      <c r="O22" s="1"/>
      <c r="P22" s="1"/>
    </row>
    <row r="23" spans="1:16">
      <c r="A23" s="2"/>
      <c r="B23" s="2"/>
      <c r="C23" s="82"/>
      <c r="D23" s="8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2"/>
      <c r="B24" s="2"/>
      <c r="C24" s="82"/>
      <c r="D24" s="8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2"/>
      <c r="B25" s="2"/>
      <c r="C25" s="82"/>
      <c r="D25" s="8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2"/>
      <c r="B26" s="2"/>
      <c r="C26" s="82"/>
      <c r="D26" s="8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2"/>
      <c r="B27" s="2"/>
      <c r="C27" s="82"/>
      <c r="D27" s="8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2"/>
      <c r="B28" s="2"/>
      <c r="C28" s="82"/>
      <c r="D28" s="8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2"/>
      <c r="B29" s="2"/>
      <c r="C29" s="82"/>
      <c r="D29" s="8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2"/>
      <c r="B30" s="2"/>
      <c r="C30" s="82"/>
      <c r="D30" s="8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2"/>
      <c r="B31" s="2"/>
      <c r="C31" s="82"/>
      <c r="D31" s="8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2"/>
      <c r="B32" s="2"/>
      <c r="C32" s="82"/>
      <c r="D32" s="8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</sheetData>
  <mergeCells count="41">
    <mergeCell ref="C32:D32"/>
    <mergeCell ref="C26:D26"/>
    <mergeCell ref="C27:D27"/>
    <mergeCell ref="C28:D28"/>
    <mergeCell ref="C29:D29"/>
    <mergeCell ref="C30:D30"/>
    <mergeCell ref="C31:D31"/>
    <mergeCell ref="C25:D25"/>
    <mergeCell ref="C20:D20"/>
    <mergeCell ref="C21:D21"/>
    <mergeCell ref="C22:D22"/>
    <mergeCell ref="C23:D23"/>
    <mergeCell ref="C24:D24"/>
    <mergeCell ref="A1:B4"/>
    <mergeCell ref="C7:D7"/>
    <mergeCell ref="C8:D8"/>
    <mergeCell ref="C9:D9"/>
    <mergeCell ref="C11:D11"/>
    <mergeCell ref="D4:E4"/>
    <mergeCell ref="I4:N4"/>
    <mergeCell ref="C5:D5"/>
    <mergeCell ref="C6:D6"/>
    <mergeCell ref="F1:H1"/>
    <mergeCell ref="F2:H2"/>
    <mergeCell ref="F3:H3"/>
    <mergeCell ref="F4:H4"/>
    <mergeCell ref="C1:C2"/>
    <mergeCell ref="D1:E2"/>
    <mergeCell ref="I1:N1"/>
    <mergeCell ref="I2:N2"/>
    <mergeCell ref="I3:N3"/>
    <mergeCell ref="D3:E3"/>
    <mergeCell ref="C13:D13"/>
    <mergeCell ref="C10:D10"/>
    <mergeCell ref="C15:D15"/>
    <mergeCell ref="C19:D19"/>
    <mergeCell ref="C18:D18"/>
    <mergeCell ref="C17:D17"/>
    <mergeCell ref="C16:D16"/>
    <mergeCell ref="C14:D14"/>
    <mergeCell ref="C12:D12"/>
  </mergeCells>
  <pageMargins left="0.7" right="0.7" top="0.78740157499999996" bottom="0.78740157499999996" header="0.3" footer="0.3"/>
  <pageSetup paperSize="9" scale="76" orientation="landscape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3c9a15e2-0f06-4bb7-9f06-339e796cf4ec" xsi:nil="true"/>
    <TaxCatchAll xmlns="80954918-b068-4dbc-bffd-4de7516a20b5" xsi:nil="true"/>
    <lcf76f155ced4ddcb4097134ff3c332f xmlns="3c9a15e2-0f06-4bb7-9f06-339e796cf4e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F754948FE58B64584C23EDC3EA601A3" ma:contentTypeVersion="15" ma:contentTypeDescription="Vytvoří nový dokument" ma:contentTypeScope="" ma:versionID="589dbd72e8d74b0c423485853fddc90e">
  <xsd:schema xmlns:xsd="http://www.w3.org/2001/XMLSchema" xmlns:xs="http://www.w3.org/2001/XMLSchema" xmlns:p="http://schemas.microsoft.com/office/2006/metadata/properties" xmlns:ns2="3c9a15e2-0f06-4bb7-9f06-339e796cf4ec" xmlns:ns3="80954918-b068-4dbc-bffd-4de7516a20b5" targetNamespace="http://schemas.microsoft.com/office/2006/metadata/properties" ma:root="true" ma:fieldsID="6e6ffe8c1fc077e8475c5539b602eb8b" ns2:_="" ns3:_="">
    <xsd:import namespace="3c9a15e2-0f06-4bb7-9f06-339e796cf4ec"/>
    <xsd:import namespace="80954918-b068-4dbc-bffd-4de7516a20b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9a15e2-0f06-4bb7-9f06-339e796cf4e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Značky obrázků" ma:readOnly="false" ma:fieldId="{5cf76f15-5ced-4ddc-b409-7134ff3c332f}" ma:taxonomyMulti="true" ma:sspId="147359f6-c19d-41a8-ab08-7821ba392c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954918-b068-4dbc-bffd-4de7516a20b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ee3dad1-f59c-4fe3-89a7-7ab066cad981}" ma:internalName="TaxCatchAll" ma:showField="CatchAllData" ma:web="80954918-b068-4dbc-bffd-4de7516a20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76377D-B31E-4A0F-9F0B-57EA7B346810}"/>
</file>

<file path=customXml/itemProps2.xml><?xml version="1.0" encoding="utf-8"?>
<ds:datastoreItem xmlns:ds="http://schemas.openxmlformats.org/officeDocument/2006/customXml" ds:itemID="{8925929C-E04E-435D-9617-3D427E81696D}"/>
</file>

<file path=customXml/itemProps3.xml><?xml version="1.0" encoding="utf-8"?>
<ds:datastoreItem xmlns:ds="http://schemas.openxmlformats.org/officeDocument/2006/customXml" ds:itemID="{6B75EB83-7FA3-4DBB-AD80-40098E334B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Roman Suk</dc:creator>
  <cp:keywords/>
  <dc:description/>
  <cp:lastModifiedBy>Roman Suk</cp:lastModifiedBy>
  <cp:revision/>
  <dcterms:created xsi:type="dcterms:W3CDTF">2024-05-25T16:36:33Z</dcterms:created>
  <dcterms:modified xsi:type="dcterms:W3CDTF">2024-06-11T06:45:09Z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0x0101002F754948FE58B64584C23EDC3EA601A3</vt:lpwstr>
  </property>
</Properties>
</file>