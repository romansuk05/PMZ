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spscaslav-my.sharepoint.com/personal/s21suk_student_sps-caslav_cz/Documents/"/>
    </mc:Choice>
  </mc:AlternateContent>
  <xr:revisionPtr revIDLastSave="0" documentId="8_{058411CD-517B-4E82-BC17-6C1A758564F4}" xr6:coauthVersionLast="47" xr6:coauthVersionMax="47" xr10:uidLastSave="{00000000-0000-0000-0000-000000000000}"/>
  <bookViews>
    <workbookView xWindow="-120" yWindow="-120" windowWidth="29040" windowHeight="15840" xr2:uid="{C93B77E8-9F2B-41AE-BAC7-7248701FC29F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1" i="1"/>
  <c r="C32" i="1" s="1"/>
  <c r="C33" i="1" s="1"/>
  <c r="C21" i="1"/>
  <c r="C24" i="1"/>
  <c r="C25" i="1" s="1"/>
  <c r="C22" i="1" s="1"/>
  <c r="C34" i="1"/>
  <c r="C28" i="1"/>
  <c r="C27" i="1"/>
  <c r="C39" i="1" s="1"/>
  <c r="C26" i="1"/>
  <c r="C23" i="1" l="1"/>
  <c r="C41" i="1"/>
  <c r="C44" i="1"/>
  <c r="D44" i="1" s="1"/>
  <c r="C35" i="1"/>
  <c r="C43" i="1" l="1"/>
  <c r="D43" i="1" s="1"/>
  <c r="C42" i="1"/>
  <c r="D42" i="1" s="1"/>
</calcChain>
</file>

<file path=xl/sharedStrings.xml><?xml version="1.0" encoding="utf-8"?>
<sst xmlns="http://schemas.openxmlformats.org/spreadsheetml/2006/main" count="82" uniqueCount="80">
  <si>
    <t>Výpočet ozubení</t>
  </si>
  <si>
    <t>Značka (jednotka)</t>
  </si>
  <si>
    <t>Hodnota</t>
  </si>
  <si>
    <t>Modul</t>
  </si>
  <si>
    <t>m (mm)</t>
  </si>
  <si>
    <t>Počet zubů oz. kola</t>
  </si>
  <si>
    <r>
      <t>z</t>
    </r>
    <r>
      <rPr>
        <vertAlign val="subscript"/>
        <sz val="11"/>
        <color theme="1"/>
        <rFont val="Aptos Narrow"/>
        <family val="2"/>
        <scheme val="minor"/>
      </rPr>
      <t>1</t>
    </r>
  </si>
  <si>
    <t>Převodové číslo</t>
  </si>
  <si>
    <t>i</t>
  </si>
  <si>
    <t>Úhel záběru</t>
  </si>
  <si>
    <t>α (°)</t>
  </si>
  <si>
    <t>Trvanlivost</t>
  </si>
  <si>
    <t>t (h)</t>
  </si>
  <si>
    <t>Směnnost</t>
  </si>
  <si>
    <t>Příkon elektromotoru</t>
  </si>
  <si>
    <t>P (kW)</t>
  </si>
  <si>
    <t>Otáčky hnacího motoru</t>
  </si>
  <si>
    <t>n (ot/min)</t>
  </si>
  <si>
    <t>Dov. napětí v krutu hřídele</t>
  </si>
  <si>
    <r>
      <t>τ</t>
    </r>
    <r>
      <rPr>
        <vertAlign val="subscript"/>
        <sz val="11"/>
        <color theme="1"/>
        <rFont val="Aptos Narrow"/>
        <family val="2"/>
        <scheme val="minor"/>
      </rPr>
      <t>Dk</t>
    </r>
    <r>
      <rPr>
        <sz val="11"/>
        <color theme="1"/>
        <rFont val="Aptos Narrow"/>
        <family val="2"/>
        <charset val="238"/>
        <scheme val="minor"/>
      </rPr>
      <t xml:space="preserve"> (MPa)</t>
    </r>
  </si>
  <si>
    <t>Dov. napětí v smyku pera</t>
  </si>
  <si>
    <r>
      <t>τ</t>
    </r>
    <r>
      <rPr>
        <vertAlign val="subscript"/>
        <sz val="11"/>
        <color theme="1"/>
        <rFont val="Aptos Narrow"/>
        <family val="2"/>
        <scheme val="minor"/>
      </rPr>
      <t>Ds</t>
    </r>
    <r>
      <rPr>
        <sz val="11"/>
        <color theme="1"/>
        <rFont val="Aptos Narrow"/>
        <family val="2"/>
        <charset val="238"/>
        <scheme val="minor"/>
      </rPr>
      <t xml:space="preserve"> (MPa)</t>
    </r>
  </si>
  <si>
    <t>Napětí na mezi pevnosti</t>
  </si>
  <si>
    <r>
      <t>σ</t>
    </r>
    <r>
      <rPr>
        <vertAlign val="subscript"/>
        <sz val="11"/>
        <color theme="1"/>
        <rFont val="Aptos Narrow"/>
        <family val="2"/>
        <scheme val="minor"/>
      </rPr>
      <t>Pt</t>
    </r>
    <r>
      <rPr>
        <sz val="11"/>
        <color theme="1"/>
        <rFont val="Aptos Narrow"/>
        <family val="2"/>
        <charset val="238"/>
        <scheme val="minor"/>
      </rPr>
      <t xml:space="preserve"> (MPa)</t>
    </r>
  </si>
  <si>
    <t xml:space="preserve">Dovolené otlačení </t>
  </si>
  <si>
    <r>
      <t>p</t>
    </r>
    <r>
      <rPr>
        <vertAlign val="subscript"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charset val="238"/>
        <scheme val="minor"/>
      </rPr>
      <t xml:space="preserve"> (MPa)</t>
    </r>
  </si>
  <si>
    <t>Šířka pera</t>
  </si>
  <si>
    <t>b (mm)</t>
  </si>
  <si>
    <t>Délší polovina pera</t>
  </si>
  <si>
    <t>t (mm)</t>
  </si>
  <si>
    <t>Kratší polovina pera</t>
  </si>
  <si>
    <r>
      <t>t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charset val="238"/>
        <scheme val="minor"/>
      </rPr>
      <t xml:space="preserve"> (mm)</t>
    </r>
  </si>
  <si>
    <t>Nejvetší průměr hřídele</t>
  </si>
  <si>
    <r>
      <t>d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charset val="238"/>
        <scheme val="minor"/>
      </rPr>
      <t xml:space="preserve"> (mm)</t>
    </r>
  </si>
  <si>
    <t>Rozměry ozubeného kola</t>
  </si>
  <si>
    <t>Roztečný průměr</t>
  </si>
  <si>
    <t>D (mm)</t>
  </si>
  <si>
    <t>Patní průměr</t>
  </si>
  <si>
    <r>
      <t>D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charset val="238"/>
        <scheme val="minor"/>
      </rPr>
      <t xml:space="preserve"> (mm)</t>
    </r>
  </si>
  <si>
    <t>Hlavový průměr</t>
  </si>
  <si>
    <r>
      <t>D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charset val="238"/>
        <scheme val="minor"/>
      </rPr>
      <t xml:space="preserve"> (mm)</t>
    </r>
  </si>
  <si>
    <t>Výška hlavy zubu</t>
  </si>
  <si>
    <r>
      <t>h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charset val="238"/>
        <scheme val="minor"/>
      </rPr>
      <t xml:space="preserve"> (mm)</t>
    </r>
  </si>
  <si>
    <t>Výška paty zubu</t>
  </si>
  <si>
    <r>
      <t>h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charset val="238"/>
        <scheme val="minor"/>
      </rPr>
      <t xml:space="preserve"> (mm)</t>
    </r>
  </si>
  <si>
    <t xml:space="preserve">Hlavová vůle </t>
  </si>
  <si>
    <r>
      <t>C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charset val="238"/>
        <scheme val="minor"/>
      </rPr>
      <t xml:space="preserve"> (mm)</t>
    </r>
  </si>
  <si>
    <t>Šířka</t>
  </si>
  <si>
    <t>Rozteč zubu</t>
  </si>
  <si>
    <t>Pohybové výpočty</t>
  </si>
  <si>
    <t>Přenášený krou. moment</t>
  </si>
  <si>
    <r>
      <t>M</t>
    </r>
    <r>
      <rPr>
        <vertAlign val="subscript"/>
        <sz val="11"/>
        <color theme="1"/>
        <rFont val="Aptos Narrow"/>
        <family val="2"/>
        <scheme val="minor"/>
      </rPr>
      <t>k</t>
    </r>
    <r>
      <rPr>
        <sz val="11"/>
        <color theme="1"/>
        <rFont val="Aptos Narrow"/>
        <family val="2"/>
        <charset val="238"/>
        <scheme val="minor"/>
      </rPr>
      <t xml:space="preserve"> (Nm)</t>
    </r>
  </si>
  <si>
    <t>(1000*P)/(2pi(n/60))</t>
  </si>
  <si>
    <t>Minimální průměr hřídele</t>
  </si>
  <si>
    <t xml:space="preserve">d (mm) </t>
  </si>
  <si>
    <t>Min. reálný průměr hřídele</t>
  </si>
  <si>
    <r>
      <t>d</t>
    </r>
    <r>
      <rPr>
        <vertAlign val="subscript"/>
        <sz val="11"/>
        <color theme="1"/>
        <rFont val="Aptos Narrow"/>
        <family val="2"/>
        <scheme val="minor"/>
      </rPr>
      <t xml:space="preserve">r </t>
    </r>
    <r>
      <rPr>
        <sz val="11"/>
        <color theme="1"/>
        <rFont val="Aptos Narrow"/>
        <family val="2"/>
        <charset val="238"/>
        <scheme val="minor"/>
      </rPr>
      <t>(mm)</t>
    </r>
  </si>
  <si>
    <t>Úhlová rychlost</t>
  </si>
  <si>
    <t>ω (rad/s)</t>
  </si>
  <si>
    <t>(2*PI()*(n/60))</t>
  </si>
  <si>
    <t>Obvodová síla</t>
  </si>
  <si>
    <r>
      <t>F</t>
    </r>
    <r>
      <rPr>
        <vertAlign val="subscript"/>
        <sz val="11"/>
        <color theme="1"/>
        <rFont val="Aptos Narrow"/>
        <family val="2"/>
        <scheme val="minor"/>
      </rPr>
      <t>ol</t>
    </r>
    <r>
      <rPr>
        <sz val="11"/>
        <color theme="1"/>
        <rFont val="Aptos Narrow"/>
        <family val="2"/>
        <charset val="238"/>
        <scheme val="minor"/>
      </rPr>
      <t xml:space="preserve"> (kN)</t>
    </r>
  </si>
  <si>
    <t>(2*Mk)/D</t>
  </si>
  <si>
    <t>Obvodová rychlost</t>
  </si>
  <si>
    <t>v (m/s)</t>
  </si>
  <si>
    <t>piDn/60</t>
  </si>
  <si>
    <t>Pevnostní výpočty</t>
  </si>
  <si>
    <t>Délka pera</t>
  </si>
  <si>
    <t>l (mm)</t>
  </si>
  <si>
    <t>Zkosení</t>
  </si>
  <si>
    <t>a (mm)</t>
  </si>
  <si>
    <t>Maximální síla na pero</t>
  </si>
  <si>
    <r>
      <t>F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charset val="238"/>
        <scheme val="minor"/>
      </rPr>
      <t xml:space="preserve"> (kN)</t>
    </r>
  </si>
  <si>
    <t>(2*Mk)/dr</t>
  </si>
  <si>
    <t>Zkouška pera na střih</t>
  </si>
  <si>
    <r>
      <t>τ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charset val="238"/>
        <scheme val="minor"/>
      </rPr>
      <t xml:space="preserve"> (MPa)</t>
    </r>
  </si>
  <si>
    <t>Zkouška pera na otlačení</t>
  </si>
  <si>
    <t>p (MPa)</t>
  </si>
  <si>
    <t>Zkouška hřídele na krut</t>
  </si>
  <si>
    <r>
      <t>τ</t>
    </r>
    <r>
      <rPr>
        <vertAlign val="subscript"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charset val="238"/>
        <scheme val="minor"/>
      </rPr>
      <t xml:space="preserve"> (MPa)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</si>
</sst>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238"/>
      <scheme val="minor"/>
    </font>
    <font>
      <sz val="11"/>
      <name val="Arial"/>
      <family val="2"/>
      <charset val="238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5" fillId="3" borderId="1" applyNumberForma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0" xfId="1"/>
    <xf numFmtId="0" fontId="5" fillId="3" borderId="1" xfId="2"/>
    <xf numFmtId="0" fontId="3" fillId="5" borderId="0" xfId="4"/>
    <xf numFmtId="0" fontId="3" fillId="4" borderId="0" xfId="3"/>
  </cellXfs>
  <cellStyles count="5">
    <cellStyle name="40 % – Zvýraznění 1" xfId="3" builtinId="31"/>
    <cellStyle name="40 % – Zvýraznění 4" xfId="4" builtinId="43"/>
    <cellStyle name="Neutrální" xfId="1" builtinId="28"/>
    <cellStyle name="Normální" xfId="0" builtinId="0"/>
    <cellStyle name="Vstup" xfId="2" builtinId="20"/>
  </cellStyles>
  <dxfs count="2"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A91A-8F74-4BC8-9EDE-1A25895600AD}">
  <dimension ref="A1:D44"/>
  <sheetViews>
    <sheetView tabSelected="1" topLeftCell="A9" zoomScale="85" zoomScaleNormal="85" workbookViewId="0">
      <selection activeCell="I33" sqref="I33"/>
    </sheetView>
  </sheetViews>
  <sheetFormatPr defaultRowHeight="15"/>
  <cols>
    <col min="1" max="1" width="24.140625" customWidth="1"/>
    <col min="2" max="2" width="17.28515625" bestFit="1" customWidth="1"/>
    <col min="4" max="4" width="19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s="3">
        <v>6</v>
      </c>
    </row>
    <row r="3" spans="1:3" ht="18">
      <c r="A3" t="s">
        <v>5</v>
      </c>
      <c r="B3" t="s">
        <v>6</v>
      </c>
      <c r="C3" s="3">
        <v>29</v>
      </c>
    </row>
    <row r="4" spans="1:3">
      <c r="A4" t="s">
        <v>7</v>
      </c>
      <c r="B4" t="s">
        <v>8</v>
      </c>
      <c r="C4" s="3">
        <v>2.7</v>
      </c>
    </row>
    <row r="5" spans="1:3">
      <c r="A5" t="s">
        <v>9</v>
      </c>
      <c r="B5" s="1" t="s">
        <v>10</v>
      </c>
      <c r="C5" s="3">
        <v>20</v>
      </c>
    </row>
    <row r="6" spans="1:3">
      <c r="A6" t="s">
        <v>11</v>
      </c>
      <c r="B6" t="s">
        <v>12</v>
      </c>
      <c r="C6" s="3">
        <v>25000</v>
      </c>
    </row>
    <row r="7" spans="1:3">
      <c r="A7" t="s">
        <v>13</v>
      </c>
      <c r="C7" s="3">
        <v>2</v>
      </c>
    </row>
    <row r="8" spans="1:3">
      <c r="A8" t="s">
        <v>14</v>
      </c>
      <c r="B8" t="s">
        <v>15</v>
      </c>
      <c r="C8" s="3">
        <v>30</v>
      </c>
    </row>
    <row r="9" spans="1:3">
      <c r="A9" t="s">
        <v>16</v>
      </c>
      <c r="B9" t="s">
        <v>17</v>
      </c>
      <c r="C9" s="3">
        <v>732</v>
      </c>
    </row>
    <row r="10" spans="1:3" ht="18">
      <c r="A10" t="s">
        <v>18</v>
      </c>
      <c r="B10" t="s">
        <v>19</v>
      </c>
      <c r="C10" s="3">
        <v>20</v>
      </c>
    </row>
    <row r="11" spans="1:3" ht="18">
      <c r="A11" t="s">
        <v>20</v>
      </c>
      <c r="B11" t="s">
        <v>21</v>
      </c>
      <c r="C11" s="3">
        <v>100</v>
      </c>
    </row>
    <row r="12" spans="1:3" ht="18">
      <c r="A12" t="s">
        <v>22</v>
      </c>
      <c r="B12" t="s">
        <v>23</v>
      </c>
      <c r="C12" s="3">
        <v>200</v>
      </c>
    </row>
    <row r="13" spans="1:3" ht="18">
      <c r="A13" t="s">
        <v>24</v>
      </c>
      <c r="B13" t="s">
        <v>25</v>
      </c>
      <c r="C13" s="3">
        <v>150</v>
      </c>
    </row>
    <row r="15" spans="1:3">
      <c r="A15" t="s">
        <v>26</v>
      </c>
      <c r="B15" t="s">
        <v>27</v>
      </c>
      <c r="C15" s="3">
        <v>16</v>
      </c>
    </row>
    <row r="16" spans="1:3">
      <c r="A16" t="s">
        <v>28</v>
      </c>
      <c r="B16" t="s">
        <v>29</v>
      </c>
      <c r="C16" s="3">
        <v>6.2</v>
      </c>
    </row>
    <row r="17" spans="1:4" ht="18">
      <c r="A17" t="s">
        <v>30</v>
      </c>
      <c r="B17" t="s">
        <v>31</v>
      </c>
      <c r="C17" s="3">
        <v>3.8</v>
      </c>
    </row>
    <row r="18" spans="1:4" ht="18">
      <c r="A18" t="s">
        <v>32</v>
      </c>
      <c r="B18" t="s">
        <v>33</v>
      </c>
      <c r="C18" s="3">
        <v>65</v>
      </c>
    </row>
    <row r="20" spans="1:4">
      <c r="A20" s="2" t="s">
        <v>34</v>
      </c>
    </row>
    <row r="21" spans="1:4">
      <c r="A21" t="s">
        <v>35</v>
      </c>
      <c r="B21" t="s">
        <v>36</v>
      </c>
      <c r="C21" s="4">
        <f>C2*C3</f>
        <v>174</v>
      </c>
    </row>
    <row r="22" spans="1:4" ht="18">
      <c r="A22" t="s">
        <v>37</v>
      </c>
      <c r="B22" t="s">
        <v>38</v>
      </c>
      <c r="C22" s="4">
        <f>C21-2*C25</f>
        <v>159</v>
      </c>
    </row>
    <row r="23" spans="1:4" ht="18">
      <c r="A23" t="s">
        <v>39</v>
      </c>
      <c r="B23" t="s">
        <v>40</v>
      </c>
      <c r="C23" s="4">
        <f>C21+2*C24</f>
        <v>186</v>
      </c>
    </row>
    <row r="24" spans="1:4" ht="18">
      <c r="A24" t="s">
        <v>41</v>
      </c>
      <c r="B24" t="s">
        <v>42</v>
      </c>
      <c r="C24" s="4">
        <f>C2</f>
        <v>6</v>
      </c>
    </row>
    <row r="25" spans="1:4" ht="18">
      <c r="A25" t="s">
        <v>43</v>
      </c>
      <c r="B25" t="s">
        <v>44</v>
      </c>
      <c r="C25" s="4">
        <f>C24+C26</f>
        <v>7.5</v>
      </c>
    </row>
    <row r="26" spans="1:4" ht="18">
      <c r="A26" t="s">
        <v>45</v>
      </c>
      <c r="B26" t="s">
        <v>46</v>
      </c>
      <c r="C26" s="4">
        <f>C2/4</f>
        <v>1.5</v>
      </c>
    </row>
    <row r="27" spans="1:4">
      <c r="A27" t="s">
        <v>47</v>
      </c>
      <c r="B27" t="s">
        <v>27</v>
      </c>
      <c r="C27" s="4">
        <f>10*C2</f>
        <v>60</v>
      </c>
    </row>
    <row r="28" spans="1:4">
      <c r="A28" t="s">
        <v>48</v>
      </c>
      <c r="B28" t="s">
        <v>29</v>
      </c>
      <c r="C28" s="4">
        <f>PI()*C2</f>
        <v>18.849555921538759</v>
      </c>
    </row>
    <row r="30" spans="1:4">
      <c r="A30" s="2" t="s">
        <v>49</v>
      </c>
    </row>
    <row r="31" spans="1:4" ht="18">
      <c r="A31" t="s">
        <v>50</v>
      </c>
      <c r="B31" t="s">
        <v>51</v>
      </c>
      <c r="C31" s="5">
        <f>(1000*C8)/(2*PI()*(C9/60))</f>
        <v>391.36461416039845</v>
      </c>
      <c r="D31" t="s">
        <v>52</v>
      </c>
    </row>
    <row r="32" spans="1:4">
      <c r="A32" t="s">
        <v>53</v>
      </c>
      <c r="B32" t="s">
        <v>54</v>
      </c>
      <c r="C32" s="5">
        <f>POWER((16*1000*C31)/(C10*PI()),1/3)</f>
        <v>46.36325194197773</v>
      </c>
    </row>
    <row r="33" spans="1:4" ht="18">
      <c r="A33" t="s">
        <v>55</v>
      </c>
      <c r="B33" t="s">
        <v>56</v>
      </c>
      <c r="C33" s="5">
        <f>ROUNDUP(C32,0)</f>
        <v>47</v>
      </c>
    </row>
    <row r="34" spans="1:4">
      <c r="A34" t="s">
        <v>57</v>
      </c>
      <c r="B34" t="s">
        <v>58</v>
      </c>
      <c r="C34" s="5">
        <f>(2*PI()*(C9/60))</f>
        <v>76.654860747590945</v>
      </c>
      <c r="D34" t="s">
        <v>59</v>
      </c>
    </row>
    <row r="35" spans="1:4" ht="18">
      <c r="A35" t="s">
        <v>60</v>
      </c>
      <c r="B35" t="s">
        <v>61</v>
      </c>
      <c r="C35" s="5">
        <f>(2*C31)/C21</f>
        <v>4.4984438409241196</v>
      </c>
      <c r="D35" t="s">
        <v>62</v>
      </c>
    </row>
    <row r="36" spans="1:4" ht="18">
      <c r="A36" t="s">
        <v>63</v>
      </c>
      <c r="B36" t="s">
        <v>64</v>
      </c>
      <c r="C36" s="5">
        <f>PI()*(C18/1000)*(C9/60)</f>
        <v>2.491282974296706</v>
      </c>
      <c r="D36" t="s">
        <v>65</v>
      </c>
    </row>
    <row r="38" spans="1:4">
      <c r="A38" s="2" t="s">
        <v>66</v>
      </c>
    </row>
    <row r="39" spans="1:4">
      <c r="A39" t="s">
        <v>67</v>
      </c>
      <c r="B39" t="s">
        <v>68</v>
      </c>
      <c r="C39" s="5">
        <f>C27-2*C40</f>
        <v>55</v>
      </c>
    </row>
    <row r="40" spans="1:4">
      <c r="A40" t="s">
        <v>69</v>
      </c>
      <c r="B40" t="s">
        <v>70</v>
      </c>
      <c r="C40" s="5">
        <v>2.5</v>
      </c>
    </row>
    <row r="41" spans="1:4" ht="18">
      <c r="A41" t="s">
        <v>71</v>
      </c>
      <c r="B41" t="s">
        <v>72</v>
      </c>
      <c r="C41" s="5">
        <f>(2*C31)/C33</f>
        <v>16.653813368527594</v>
      </c>
      <c r="D41" t="s">
        <v>73</v>
      </c>
    </row>
    <row r="42" spans="1:4" ht="18">
      <c r="A42" t="s">
        <v>74</v>
      </c>
      <c r="B42" t="s">
        <v>75</v>
      </c>
      <c r="C42" s="5">
        <f>(C41*1000)/(C15*C39)</f>
        <v>18.924787918781355</v>
      </c>
      <c r="D42" t="str">
        <f>IF(C42&lt;C11,"VYHOVUJE","NEVYHOVUJE")</f>
        <v>VYHOVUJE</v>
      </c>
    </row>
    <row r="43" spans="1:4">
      <c r="A43" t="s">
        <v>76</v>
      </c>
      <c r="B43" t="s">
        <v>77</v>
      </c>
      <c r="C43" s="5">
        <f>(C41*1000)/(C17*C39)</f>
        <v>79.683317552763612</v>
      </c>
      <c r="D43" t="str">
        <f>IF(C43&lt;C13,"VYHOVUJE","NEVYHOVUJE")</f>
        <v>VYHOVUJE</v>
      </c>
    </row>
    <row r="44" spans="1:4" ht="18">
      <c r="A44" t="s">
        <v>78</v>
      </c>
      <c r="B44" t="s">
        <v>79</v>
      </c>
      <c r="C44" s="5">
        <f>(16*C31)/(PI()*C33*C33*C33)</f>
        <v>1.9198093029831092E-2</v>
      </c>
      <c r="D44" t="str">
        <f>IF(C44&lt;C10,"VYHOVUJE","NEVYHOVUJE")</f>
        <v>VYHOVUJE</v>
      </c>
    </row>
  </sheetData>
  <conditionalFormatting sqref="D42:D45">
    <cfRule type="containsText" dxfId="1" priority="1" operator="containsText" text="NEVYHOVUJE">
      <formula>NOT(ISERROR(SEARCH("NEVYHOVUJE",D42)))</formula>
    </cfRule>
    <cfRule type="containsText" dxfId="0" priority="2" operator="containsText" text="VYHOVUJE">
      <formula>NOT(ISERROR(SEARCH("VYHOVUJE",D42)))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FDC14154E16FF40B1309D269032EB63" ma:contentTypeVersion="18" ma:contentTypeDescription="Vytvoří nový dokument" ma:contentTypeScope="" ma:versionID="178f7a038437fc53aacb0d5fa50c07dc">
  <xsd:schema xmlns:xsd="http://www.w3.org/2001/XMLSchema" xmlns:xs="http://www.w3.org/2001/XMLSchema" xmlns:p="http://schemas.microsoft.com/office/2006/metadata/properties" xmlns:ns3="20f5d252-cb05-4671-997e-785e1439a00b" xmlns:ns4="efc3a9eb-360f-4070-bc1e-0032d87181fd" targetNamespace="http://schemas.microsoft.com/office/2006/metadata/properties" ma:root="true" ma:fieldsID="6bae7d7cd50b6bbd67d8795c746d76dc" ns3:_="" ns4:_="">
    <xsd:import namespace="20f5d252-cb05-4671-997e-785e1439a00b"/>
    <xsd:import namespace="efc3a9eb-360f-4070-bc1e-0032d87181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5d252-cb05-4671-997e-785e1439a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3a9eb-360f-4070-bc1e-0032d87181f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f5d252-cb05-4671-997e-785e1439a00b" xsi:nil="true"/>
  </documentManagement>
</p:properties>
</file>

<file path=customXml/itemProps1.xml><?xml version="1.0" encoding="utf-8"?>
<ds:datastoreItem xmlns:ds="http://schemas.openxmlformats.org/officeDocument/2006/customXml" ds:itemID="{69008BD8-EBAF-44FD-A430-90649338055B}"/>
</file>

<file path=customXml/itemProps2.xml><?xml version="1.0" encoding="utf-8"?>
<ds:datastoreItem xmlns:ds="http://schemas.openxmlformats.org/officeDocument/2006/customXml" ds:itemID="{811C93CF-3332-41D0-85EB-3CC6B1FB58F8}"/>
</file>

<file path=customXml/itemProps3.xml><?xml version="1.0" encoding="utf-8"?>
<ds:datastoreItem xmlns:ds="http://schemas.openxmlformats.org/officeDocument/2006/customXml" ds:itemID="{B4294D02-A192-4F5F-9DD5-880DA06BDD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 Suk</dc:creator>
  <cp:keywords/>
  <dc:description/>
  <cp:lastModifiedBy/>
  <cp:revision/>
  <dcterms:created xsi:type="dcterms:W3CDTF">2024-05-11T18:26:04Z</dcterms:created>
  <dcterms:modified xsi:type="dcterms:W3CDTF">2025-04-22T12:16:58Z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0x0101001FDC14154E16FF40B1309D269032EB63</vt:lpwstr>
  </property>
</Properties>
</file>